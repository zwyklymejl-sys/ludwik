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read" sheetId="1" state="visible" r:id="rId3"/>
    <sheet name="Patterns" sheetId="2" state="visible" r:id="rId4"/>
    <sheet name="Backtest by tenor" sheetId="3" state="visible" r:id="rId5"/>
    <sheet name="Backtest by period" sheetId="4" state="visible" r:id="rId6"/>
    <sheet name="Metrics" sheetId="5" state="visible" r:id="rId7"/>
    <sheet name="Detail" sheetId="6" state="visible" r:id="rId8"/>
    <sheet name="check" sheetId="7" state="visible" r:id="rId9"/>
    <sheet name="Data" sheetId="8" state="visible" r:id="rId10"/>
    <sheet name="pattern input" sheetId="9" state="visible" r:id="rId11"/>
    <sheet name="python Patterns" sheetId="10" state="visible" r:id="rId12"/>
    <sheet name="python Backtest by tenor" sheetId="11" state="visible" r:id="rId13"/>
    <sheet name="python Backtest by period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<sst xmlns="http://schemas.openxmlformats.org/spreadsheetml/2006/main" count="502" uniqueCount="116">
  <si>
    <t xml:space="preserve">Patterns / Backtest by tenor / Backtest by period = output_comparison.xlsx (same layout), all numbers are formulas. Valuation 2023 rows first, then 2024.</t>
  </si>
  <si>
    <t xml:space="preserve">check = formula sheets minus Python output ('python ...' sheets, pasted from the two Python runs), cell by cell. All zeros = identical.</t>
  </si>
  <si>
    <t xml:space="preserve">Detail = one row per method x valuation x accident year x year after valuation (flat table 'Detail', ready for a pivot table).</t>
  </si>
  <si>
    <t xml:space="preserve">  pattern at valuation tenor / pattern at tenor in year = assumed pattern (from 'pattern input' = Python method output).</t>
  </si>
  <si>
    <t xml:space="preserve">  expected paid in year = BE at valuation x (pattern(s) - pattern(s-1)) / (1 - pattern(t));  actual paid in year = cum. paid(year) - cum. paid(year-1).</t>
  </si>
  <si>
    <t xml:space="preserve">  expected cum. paid = paid at valuation + BE x (pattern(s) - pattern(t)) / (1 - pattern(t));  actual cum. paid = cumulative paid in that year.</t>
  </si>
  <si>
    <t xml:space="preserve">  expected / actual cum. % of U = the same divided by U at valuation (paid + BE at valuation) = the implied actual pattern on the same basis.</t>
  </si>
  <si>
    <t xml:space="preserve">  Note: expected cum. % of U equals the assumed pattern only if the accident year was exactly on the pattern at valuation (paid / U = pattern(t)).</t>
  </si>
  <si>
    <t xml:space="preserve">Backtest by period = SUMIFS over Detail by method, valuation and year (columns 'expected paid in year', 'actual paid in year').</t>
  </si>
  <si>
    <t xml:space="preserve">Backtest by tenor  = SUMIFS over Detail by method, valuation and tenor in year: sum(cum. paid) / sum(U at valuation), only rows with U &gt; 0.</t>
  </si>
  <si>
    <t xml:space="preserve">Pivot example: rows = valuation, AY; columns = year; values = sum of expected paid in year and actual paid in year (filter method).</t>
  </si>
  <si>
    <t xml:space="preserve">Metrics = one row per aggregate x method x valuation ('all' pools both valuations), all SUMIFS over Detail. Lower is better.</t>
  </si>
  <si>
    <t xml:space="preserve">  bias = sum(expected - actual) over AY x year;  SAE = sum |diff|;  MAE = SAE / n;  SSE = sum diff^2;  RMSE = sqrt(SSE / n)   (money)</t>
  </si>
  <si>
    <t xml:space="preserve">  Pearson chi2 = sum diff^2 / expected;  Huber = 0.5 diff^2 if |diff| &lt;= threshold else threshold x (|diff| - 0.5 threshold)</t>
  </si>
  <si>
    <t xml:space="preserve">  |bias| / BE and SAE / BE scale by the BE at valuation (counted once per AY) so aggregates of different size can be compared.</t>
  </si>
  <si>
    <t xml:space="preserve">  cum. MAE % of U and cum. RMSE % pts use the pattern basis (cumulative paid as % of U at valuation).</t>
  </si>
  <si>
    <t xml:space="preserve">  rank columns: 1 = best method within the same aggregate and valuation; 'best method' table picks rank 1 per metric.</t>
  </si>
  <si>
    <t xml:space="preserve">aggregate</t>
  </si>
  <si>
    <t xml:space="preserve">valuation</t>
  </si>
  <si>
    <t xml:space="preserve">method</t>
  </si>
  <si>
    <t xml:space="preserve">Example A - method 1 data</t>
  </si>
  <si>
    <t xml:space="preserve">Method 1 - paid to ultimate</t>
  </si>
  <si>
    <t xml:space="preserve">Method 2 - paid to best estimate</t>
  </si>
  <si>
    <t xml:space="preserve">row</t>
  </si>
  <si>
    <t xml:space="preserve">actual</t>
  </si>
  <si>
    <t xml:space="preserve">accident periods</t>
  </si>
  <si>
    <t xml:space="preserve">expected M1</t>
  </si>
  <si>
    <t xml:space="preserve">difference M1</t>
  </si>
  <si>
    <t xml:space="preserve">expected M2</t>
  </si>
  <si>
    <t xml:space="preserve">difference M2</t>
  </si>
  <si>
    <t xml:space="preserve">V+1</t>
  </si>
  <si>
    <t xml:space="preserve">V+2</t>
  </si>
  <si>
    <t xml:space="preserve">total</t>
  </si>
  <si>
    <t xml:space="preserve">period</t>
  </si>
  <si>
    <t xml:space="preserve">Metrics per aggregate x method x valuation (lower = better; 'all' pools both valuations)</t>
  </si>
  <si>
    <t xml:space="preserve">Huber threshold (money)</t>
  </si>
  <si>
    <t xml:space="preserve">valuation filter</t>
  </si>
  <si>
    <t xml:space="preserve">n (AY x year)</t>
  </si>
  <si>
    <t xml:space="preserve">sum expected</t>
  </si>
  <si>
    <t xml:space="preserve">sum actual</t>
  </si>
  <si>
    <t xml:space="preserve">bias (exp - act)</t>
  </si>
  <si>
    <t xml:space="preserve">sum BE at valuation</t>
  </si>
  <si>
    <t xml:space="preserve">|bias| / BE</t>
  </si>
  <si>
    <t xml:space="preserve">SAE (sum |diff|)</t>
  </si>
  <si>
    <t xml:space="preserve">MAE</t>
  </si>
  <si>
    <t xml:space="preserve">SSE (sum diff^2)</t>
  </si>
  <si>
    <t xml:space="preserve">RMSE</t>
  </si>
  <si>
    <t xml:space="preserve">Pearson chi2</t>
  </si>
  <si>
    <t xml:space="preserve">Huber loss</t>
  </si>
  <si>
    <t xml:space="preserve">SAE / BE</t>
  </si>
  <si>
    <t xml:space="preserve">cum. MAE % of U</t>
  </si>
  <si>
    <t xml:space="preserve">cum. RMSE % pts</t>
  </si>
  <si>
    <t xml:space="preserve">rank |bias|</t>
  </si>
  <si>
    <t xml:space="preserve">rank SAE</t>
  </si>
  <si>
    <t xml:space="preserve">rank RMSE</t>
  </si>
  <si>
    <t xml:space="preserve">rank Pearson</t>
  </si>
  <si>
    <t xml:space="preserve">rank Huber</t>
  </si>
  <si>
    <t xml:space="preserve">rank cum. MAE %</t>
  </si>
  <si>
    <t xml:space="preserve">M1</t>
  </si>
  <si>
    <t xml:space="preserve">2023</t>
  </si>
  <si>
    <t xml:space="preserve">2024</t>
  </si>
  <si>
    <t xml:space="preserve">all</t>
  </si>
  <si>
    <t xml:space="preserve">&gt;0</t>
  </si>
  <si>
    <t xml:space="preserve">M2</t>
  </si>
  <si>
    <t xml:space="preserve">best method (rank 1) per metric</t>
  </si>
  <si>
    <t xml:space="preserve">metric</t>
  </si>
  <si>
    <t xml:space="preserve">what it measures</t>
  </si>
  <si>
    <t xml:space="preserve">total over- or under-projection of payments, scaled by the reserve</t>
  </si>
  <si>
    <t xml:space="preserve">SAE</t>
  </si>
  <si>
    <t xml:space="preserve">sum of absolute differences per AY and year (money)</t>
  </si>
  <si>
    <t xml:space="preserve">root mean squared difference (money) - penalises big misses</t>
  </si>
  <si>
    <t xml:space="preserve">sum diff^2 / expected - classic actual vs expected test</t>
  </si>
  <si>
    <t xml:space="preserve">Huber</t>
  </si>
  <si>
    <t xml:space="preserve">squared for small, linear for big differences - robust to outliers</t>
  </si>
  <si>
    <t xml:space="preserve">U-weighted mean |difference| in cumulative % of U (pattern basis)</t>
  </si>
  <si>
    <t xml:space="preserve">AY</t>
  </si>
  <si>
    <t xml:space="preserve">year</t>
  </si>
  <si>
    <t xml:space="preserve">years after valuation</t>
  </si>
  <si>
    <t xml:space="preserve">tenor at valuation</t>
  </si>
  <si>
    <t xml:space="preserve">tenor in year</t>
  </si>
  <si>
    <t xml:space="preserve">paid at valuation</t>
  </si>
  <si>
    <t xml:space="preserve">BE at valuation</t>
  </si>
  <si>
    <t xml:space="preserve">U at valuation</t>
  </si>
  <si>
    <t xml:space="preserve">pattern at valuation tenor</t>
  </si>
  <si>
    <t xml:space="preserve">pattern at tenor in year</t>
  </si>
  <si>
    <t xml:space="preserve">expected paid in year</t>
  </si>
  <si>
    <t xml:space="preserve">actual paid in year</t>
  </si>
  <si>
    <t xml:space="preserve">difference paid (exp - act)</t>
  </si>
  <si>
    <t xml:space="preserve">expected cum. paid</t>
  </si>
  <si>
    <t xml:space="preserve">actual cum. paid</t>
  </si>
  <si>
    <t xml:space="preserve">expected cum. % of U</t>
  </si>
  <si>
    <t xml:space="preserve">actual cum. % of U</t>
  </si>
  <si>
    <t xml:space="preserve">difference % (exp - act)</t>
  </si>
  <si>
    <t xml:space="preserve">abs difference</t>
  </si>
  <si>
    <t xml:space="preserve">squared difference</t>
  </si>
  <si>
    <t xml:space="preserve">Pearson term (diff^2 / expected)</t>
  </si>
  <si>
    <t xml:space="preserve">abs cum. difference</t>
  </si>
  <si>
    <t xml:space="preserve">squared difference % (U &gt; 0)</t>
  </si>
  <si>
    <t xml:space="preserve">sheet</t>
  </si>
  <si>
    <t xml:space="preserve">max |formula - python|</t>
  </si>
  <si>
    <t xml:space="preserve">cells that differ in text</t>
  </si>
  <si>
    <t xml:space="preserve">Patterns</t>
  </si>
  <si>
    <t xml:space="preserve">Backtest by tenor</t>
  </si>
  <si>
    <t xml:space="preserve">Backtest by period</t>
  </si>
  <si>
    <t xml:space="preserve">Patterns: formula - python, cell by cell</t>
  </si>
  <si>
    <t xml:space="preserve">Backtest by tenor: formula - python, cell by cell</t>
  </si>
  <si>
    <t xml:space="preserve">Backtest by period: formula - python, cell by cell</t>
  </si>
  <si>
    <t xml:space="preserve">cumulative paid (AY x observation year)</t>
  </si>
  <si>
    <t xml:space="preserve">AY \ year</t>
  </si>
  <si>
    <t xml:space="preserve">best estimate = rbns + ibnr (AY x observation year)</t>
  </si>
  <si>
    <t xml:space="preserve">method / valuation</t>
  </si>
  <si>
    <t xml:space="preserve">M1_2023</t>
  </si>
  <si>
    <t xml:space="preserve">M1_2024</t>
  </si>
  <si>
    <t xml:space="preserve">M2_2023</t>
  </si>
  <si>
    <t xml:space="preserve">M2_2024</t>
  </si>
  <si>
    <t xml:space="preserve">2025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</si>
</sst>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.00%;[RED]\-0.00%"/>
    <numFmt numFmtId="167" formatCode="#,##0"/>
    <numFmt numFmtId="168" formatCode="#,##0;[RED]\-#,##0"/>
    <numFmt numFmtId="169" formatCode="#,##0.0"/>
    <numFmt numFmtId="170" formatCode="0.000000"/>
    <numFmt numFmtId="171" formatCode="0.000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tail" displayName="Detail" ref="A1:AA105" headerRowCount="1" totalsRowCount="0" totalsRowShown="0">
  <autoFilter ref="A1:AA105"/>
  <tableColumns count="27">
    <tableColumn id="1" name="method"/>
    <tableColumn id="2" name="valuation"/>
    <tableColumn id="3" name="AY"/>
    <tableColumn id="4" name="year"/>
    <tableColumn id="5" name="years after valuation"/>
    <tableColumn id="6" name="tenor at valuation"/>
    <tableColumn id="7" name="tenor in year"/>
    <tableColumn id="8" name="paid at valuation"/>
    <tableColumn id="9" name="BE at valuation"/>
    <tableColumn id="10" name="U at valuation"/>
    <tableColumn id="11" name="pattern at valuation tenor"/>
    <tableColumn id="12" name="pattern at tenor in year"/>
    <tableColumn id="13" name="expected paid in year"/>
    <tableColumn id="14" name="actual paid in year"/>
    <tableColumn id="15" name="difference paid (exp - act)"/>
    <tableColumn id="16" name="expected cum. paid"/>
    <tableColumn id="17" name="actual cum. paid"/>
    <tableColumn id="18" name="expected cum. % of U"/>
    <tableColumn id="19" name="actual cum. % of U"/>
    <tableColumn id="20" name="difference % (exp - act)"/>
    <tableColumn id="21" name="aggregate"/>
    <tableColumn id="22" name="abs difference"/>
    <tableColumn id="23" name="squared difference"/>
    <tableColumn id="24" name="Pearson term (diff^2 / expected)"/>
    <tableColumn id="25" name="Huber loss"/>
    <tableColumn id="26" name="abs cum. difference"/>
    <tableColumn id="27" name="squared difference % (U &gt; 0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1" t="s">
        <v>5</v>
      </c>
    </row>
    <row r="8" customFormat="false" ht="15" hidden="false" customHeight="false" outlineLevel="0" collapsed="false">
      <c r="A8" s="1" t="s">
        <v>6</v>
      </c>
    </row>
    <row r="9" customFormat="false" ht="15" hidden="false" customHeight="false" outlineLevel="0" collapsed="false">
      <c r="A9" s="1" t="s">
        <v>7</v>
      </c>
    </row>
    <row r="10" customFormat="false" ht="15" hidden="false" customHeight="false" outlineLevel="0" collapsed="false">
      <c r="A10" s="1"/>
    </row>
    <row r="11" customFormat="false" ht="15" hidden="false" customHeight="false" outlineLevel="0" collapsed="false">
      <c r="A11" s="1" t="s">
        <v>8</v>
      </c>
    </row>
    <row r="12" customFormat="false" ht="15" hidden="false" customHeight="false" outlineLevel="0" collapsed="false">
      <c r="A12" s="1" t="s">
        <v>9</v>
      </c>
    </row>
    <row r="13" customFormat="false" ht="15" hidden="false" customHeight="false" outlineLevel="0" collapsed="false">
      <c r="A13" s="1" t="s">
        <v>10</v>
      </c>
    </row>
    <row r="14" customFormat="false" ht="15" hidden="false" customHeight="false" outlineLevel="0" collapsed="false">
      <c r="A14" s="1"/>
    </row>
    <row r="15" customFormat="false" ht="15" hidden="false" customHeight="false" outlineLevel="0" collapsed="false">
      <c r="A15" s="1" t="s">
        <v>11</v>
      </c>
    </row>
    <row r="16" customFormat="false" ht="15" hidden="false" customHeight="false" outlineLevel="0" collapsed="false">
      <c r="A16" s="1" t="s">
        <v>12</v>
      </c>
    </row>
    <row r="17" customFormat="false" ht="15" hidden="false" customHeight="false" outlineLevel="0" collapsed="false">
      <c r="A17" s="1" t="s">
        <v>13</v>
      </c>
    </row>
    <row r="18" customFormat="false" ht="15" hidden="false" customHeight="false" outlineLevel="0" collapsed="false">
      <c r="A18" s="1" t="s">
        <v>14</v>
      </c>
    </row>
    <row r="19" customFormat="false" ht="15" hidden="false" customHeight="false" outlineLevel="0" collapsed="false">
      <c r="A19" s="1" t="s">
        <v>15</v>
      </c>
    </row>
    <row r="20" customFormat="false" ht="15" hidden="false" customHeight="false" outlineLevel="0" collapsed="false">
      <c r="A20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22" min="4" style="0" width="11"/>
  </cols>
  <sheetData>
    <row r="1" customFormat="false" ht="15" hidden="false" customHeight="false" outlineLevel="0" collapsed="false">
      <c r="A1" s="2" t="s">
        <v>17</v>
      </c>
      <c r="B1" s="2" t="s">
        <v>18</v>
      </c>
      <c r="C1" s="2" t="s">
        <v>19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</row>
    <row r="2" customFormat="false" ht="15" hidden="false" customHeight="false" outlineLevel="0" collapsed="false">
      <c r="A2" s="1" t="s">
        <v>20</v>
      </c>
      <c r="B2" s="1" t="n">
        <v>2023</v>
      </c>
      <c r="C2" s="1" t="s">
        <v>21</v>
      </c>
      <c r="D2" s="3" t="n">
        <f aca="false">'pattern input'!B2</f>
        <v>0.0818906159420382</v>
      </c>
      <c r="E2" s="3" t="n">
        <f aca="false">'pattern input'!C2</f>
        <v>0.420956725941103</v>
      </c>
      <c r="F2" s="3" t="n">
        <f aca="false">'pattern input'!D2</f>
        <v>0.610582494696767</v>
      </c>
      <c r="G2" s="3" t="n">
        <f aca="false">'pattern input'!E2</f>
        <v>0.703600031559663</v>
      </c>
      <c r="H2" s="3" t="n">
        <f aca="false">'pattern input'!F2</f>
        <v>0.864682721504224</v>
      </c>
      <c r="I2" s="3" t="n">
        <f aca="false">'pattern input'!G2</f>
        <v>0.88394308921476</v>
      </c>
      <c r="J2" s="3" t="n">
        <f aca="false">'pattern input'!H2</f>
        <v>0.900227498082865</v>
      </c>
      <c r="K2" s="3" t="n">
        <f aca="false">'pattern input'!I2</f>
        <v>0.914333694673512</v>
      </c>
      <c r="L2" s="3" t="n">
        <f aca="false">'pattern input'!J2</f>
        <v>0.926776241878004</v>
      </c>
      <c r="M2" s="3" t="n">
        <f aca="false">'pattern input'!K2</f>
        <v>0.93790647962622</v>
      </c>
      <c r="N2" s="3" t="n">
        <f aca="false">'pattern input'!L2</f>
        <v>0.947975004390207</v>
      </c>
      <c r="O2" s="3" t="n">
        <f aca="false">'pattern input'!M2</f>
        <v>0.957166847336756</v>
      </c>
      <c r="P2" s="3" t="n">
        <f aca="false">'pattern input'!N2</f>
        <v>0.965622523173715</v>
      </c>
      <c r="Q2" s="3" t="n">
        <f aca="false">'pattern input'!O2</f>
        <v>0.973451256204861</v>
      </c>
      <c r="R2" s="3" t="n">
        <f aca="false">'pattern input'!P2</f>
        <v>0.980739632289463</v>
      </c>
      <c r="S2" s="3" t="n">
        <f aca="false">'pattern input'!Q2</f>
        <v>0.987557452795508</v>
      </c>
      <c r="T2" s="3" t="n">
        <f aca="false">'pattern input'!R2</f>
        <v>0.993961810727886</v>
      </c>
      <c r="U2" s="3" t="n">
        <f aca="false">'pattern input'!S2</f>
        <v>1</v>
      </c>
      <c r="V2" s="1"/>
    </row>
    <row r="3" customFormat="false" ht="15" hidden="false" customHeight="false" outlineLevel="0" collapsed="false">
      <c r="A3" s="1" t="s">
        <v>20</v>
      </c>
      <c r="B3" s="1" t="n">
        <v>2023</v>
      </c>
      <c r="C3" s="1" t="s">
        <v>22</v>
      </c>
      <c r="D3" s="3" t="n">
        <f aca="false">'pattern input'!B4</f>
        <v>0.1</v>
      </c>
      <c r="E3" s="3" t="n">
        <f aca="false">'pattern input'!C4</f>
        <v>0.368846402342276</v>
      </c>
      <c r="F3" s="3" t="n">
        <f aca="false">'pattern input'!D4</f>
        <v>0.556220040730497</v>
      </c>
      <c r="G3" s="3" t="n">
        <f aca="false">'pattern input'!E4</f>
        <v>0.663061548675573</v>
      </c>
      <c r="H3" s="3" t="n">
        <f aca="false">'pattern input'!F4</f>
        <v>0.77507109085003</v>
      </c>
      <c r="I3" s="3" t="n">
        <f aca="false">'pattern input'!G4</f>
        <v>0.77507109085003</v>
      </c>
      <c r="J3" s="3" t="n">
        <f aca="false">'pattern input'!H4</f>
        <v>0.806631764816554</v>
      </c>
      <c r="K3" s="3" t="n">
        <f aca="false">'pattern input'!I4</f>
        <v>0.833970864142234</v>
      </c>
      <c r="L3" s="3" t="n">
        <f aca="false">'pattern input'!J4</f>
        <v>0.858085658778913</v>
      </c>
      <c r="M3" s="3" t="n">
        <f aca="false">'pattern input'!K4</f>
        <v>0.879657077648734</v>
      </c>
      <c r="N3" s="3" t="n">
        <f aca="false">'pattern input'!L4</f>
        <v>0.899170799637284</v>
      </c>
      <c r="O3" s="3" t="n">
        <f aca="false">'pattern input'!M4</f>
        <v>0.916985432071117</v>
      </c>
      <c r="P3" s="3" t="n">
        <f aca="false">'pattern input'!N4</f>
        <v>0.933373305307312</v>
      </c>
      <c r="Q3" s="3" t="n">
        <f aca="false">'pattern input'!O4</f>
        <v>0.948546106037642</v>
      </c>
      <c r="R3" s="3" t="n">
        <f aca="false">'pattern input'!P4</f>
        <v>0.962671645577617</v>
      </c>
      <c r="S3" s="3" t="n">
        <f aca="false">'pattern input'!Q4</f>
        <v>0.975885205363322</v>
      </c>
      <c r="T3" s="3" t="n">
        <f aca="false">'pattern input'!R4</f>
        <v>0.988297436860689</v>
      </c>
      <c r="U3" s="3" t="n">
        <f aca="false">'pattern input'!S4</f>
        <v>1</v>
      </c>
      <c r="V3" s="1"/>
    </row>
    <row r="4" customFormat="false" ht="15" hidden="false" customHeight="false" outlineLevel="0" collapsed="false">
      <c r="A4" s="1" t="s">
        <v>20</v>
      </c>
      <c r="B4" s="1" t="n">
        <v>2024</v>
      </c>
      <c r="C4" s="1" t="s">
        <v>21</v>
      </c>
      <c r="D4" s="3" t="n">
        <f aca="false">'pattern input'!B3</f>
        <v>0.0938035665022449</v>
      </c>
      <c r="E4" s="3" t="n">
        <f aca="false">'pattern input'!C3</f>
        <v>0.369008487835145</v>
      </c>
      <c r="F4" s="3" t="n">
        <f aca="false">'pattern input'!D3</f>
        <v>0.485124881337061</v>
      </c>
      <c r="G4" s="3" t="n">
        <f aca="false">'pattern input'!E3</f>
        <v>0.636261699499315</v>
      </c>
      <c r="H4" s="3" t="n">
        <f aca="false">'pattern input'!F3</f>
        <v>0.713853132951729</v>
      </c>
      <c r="I4" s="3" t="n">
        <f aca="false">'pattern input'!G3</f>
        <v>0.853496337850895</v>
      </c>
      <c r="J4" s="3" t="n">
        <f aca="false">'pattern input'!H3</f>
        <v>0.873088634688612</v>
      </c>
      <c r="K4" s="3" t="n">
        <f aca="false">'pattern input'!I3</f>
        <v>0.890060254174074</v>
      </c>
      <c r="L4" s="3" t="n">
        <f aca="false">'pattern input'!J3</f>
        <v>0.905030283496119</v>
      </c>
      <c r="M4" s="3" t="n">
        <f aca="false">'pattern input'!K3</f>
        <v>0.918421431041212</v>
      </c>
      <c r="N4" s="3" t="n">
        <f aca="false">'pattern input'!L3</f>
        <v>0.930535197496703</v>
      </c>
      <c r="O4" s="3" t="n">
        <f aca="false">'pattern input'!M3</f>
        <v>0.941594199819299</v>
      </c>
      <c r="P4" s="3" t="n">
        <f aca="false">'pattern input'!N3</f>
        <v>0.951767495780055</v>
      </c>
      <c r="Q4" s="3" t="n">
        <f aca="false">'pattern input'!O3</f>
        <v>0.961186496657016</v>
      </c>
      <c r="R4" s="3" t="n">
        <f aca="false">'pattern input'!P3</f>
        <v>0.969955376686437</v>
      </c>
      <c r="S4" s="3" t="n">
        <f aca="false">'pattern input'!Q3</f>
        <v>0.978158116142478</v>
      </c>
      <c r="T4" s="3" t="n">
        <f aca="false">'pattern input'!R3</f>
        <v>0.985863405458314</v>
      </c>
      <c r="U4" s="3" t="n">
        <f aca="false">'pattern input'!S3</f>
        <v>0.993128145464523</v>
      </c>
      <c r="V4" s="3" t="n">
        <f aca="false">'pattern input'!T3</f>
        <v>1</v>
      </c>
    </row>
    <row r="5" customFormat="false" ht="15" hidden="false" customHeight="false" outlineLevel="0" collapsed="false">
      <c r="A5" s="1" t="s">
        <v>20</v>
      </c>
      <c r="B5" s="1" t="n">
        <v>2024</v>
      </c>
      <c r="C5" s="1" t="s">
        <v>22</v>
      </c>
      <c r="D5" s="3" t="n">
        <f aca="false">'pattern input'!B5</f>
        <v>0.1</v>
      </c>
      <c r="E5" s="3" t="n">
        <f aca="false">'pattern input'!C5</f>
        <v>0.384978523354072</v>
      </c>
      <c r="F5" s="3" t="n">
        <f aca="false">'pattern input'!D5</f>
        <v>0.500510444466199</v>
      </c>
      <c r="G5" s="3" t="n">
        <f aca="false">'pattern input'!E5</f>
        <v>0.596713467971618</v>
      </c>
      <c r="H5" s="3" t="n">
        <f aca="false">'pattern input'!F5</f>
        <v>0.697262855345031</v>
      </c>
      <c r="I5" s="3" t="n">
        <f aca="false">'pattern input'!G5</f>
        <v>0.697262855345031</v>
      </c>
      <c r="J5" s="3" t="n">
        <f aca="false">'pattern input'!H5</f>
        <v>0.697262855345031</v>
      </c>
      <c r="K5" s="3" t="n">
        <f aca="false">'pattern input'!I5</f>
        <v>0.737747327406244</v>
      </c>
      <c r="L5" s="3" t="n">
        <f aca="false">'pattern input'!J5</f>
        <v>0.773457162543843</v>
      </c>
      <c r="M5" s="3" t="n">
        <f aca="false">'pattern input'!K5</f>
        <v>0.805400698581831</v>
      </c>
      <c r="N5" s="3" t="n">
        <f aca="false">'pattern input'!L5</f>
        <v>0.834297141849576</v>
      </c>
      <c r="O5" s="3" t="n">
        <f aca="false">'pattern input'!M5</f>
        <v>0.860677527701235</v>
      </c>
      <c r="P5" s="3" t="n">
        <f aca="false">'pattern input'!N5</f>
        <v>0.884945130238902</v>
      </c>
      <c r="Q5" s="3" t="n">
        <f aca="false">'pattern input'!O5</f>
        <v>0.907413420797414</v>
      </c>
      <c r="R5" s="3" t="n">
        <f aca="false">'pattern input'!P5</f>
        <v>0.928330898876823</v>
      </c>
      <c r="S5" s="3" t="n">
        <f aca="false">'pattern input'!Q5</f>
        <v>0.947897892858627</v>
      </c>
      <c r="T5" s="3" t="n">
        <f aca="false">'pattern input'!R5</f>
        <v>0.966278258403458</v>
      </c>
      <c r="U5" s="3" t="n">
        <f aca="false">'pattern input'!S5</f>
        <v>0.983607727996226</v>
      </c>
      <c r="V5" s="3" t="n">
        <f aca="false">'pattern input'!T5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22" min="4" style="0" width="11"/>
  </cols>
  <sheetData>
    <row r="1" customFormat="false" ht="15" hidden="false" customHeight="false" outlineLevel="0" collapsed="false">
      <c r="A1" s="2" t="s">
        <v>17</v>
      </c>
      <c r="B1" s="2" t="s">
        <v>18</v>
      </c>
      <c r="C1" s="2" t="s">
        <v>23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</row>
    <row r="2" customFormat="false" ht="15" hidden="false" customHeight="false" outlineLevel="0" collapsed="false">
      <c r="A2" s="4" t="s">
        <v>20</v>
      </c>
      <c r="B2" s="4" t="n">
        <v>2023</v>
      </c>
      <c r="C2" s="4" t="s">
        <v>24</v>
      </c>
      <c r="D2" s="5" t="str">
        <f aca="false">IF(D3="","",SUMIFS(Detail!$Q$2:$Q$105,Detail!$A$2:$A$105,"M1",Detail!$B$2:$B$105,$B2,Detail!$G$2:$G$105,D$1,Detail!$J$2:$J$105,"&gt;0")/SUMIFS(Detail!$J$2:$J$105,Detail!$A$2:$A$105,"M1",Detail!$B$2:$B$105,$B2,Detail!$G$2:$G$105,D$1,Detail!$J$2:$J$105,"&gt;0"))</f>
        <v/>
      </c>
      <c r="E2" s="5" t="n">
        <f aca="false">IF(E3="","",SUMIFS(Detail!$Q$2:$Q$105,Detail!$A$2:$A$105,"M1",Detail!$B$2:$B$105,$B2,Detail!$G$2:$G$105,E$1,Detail!$J$2:$J$105,"&gt;0")/SUMIFS(Detail!$J$2:$J$105,Detail!$A$2:$A$105,"M1",Detail!$B$2:$B$105,$B2,Detail!$G$2:$G$105,E$1,Detail!$J$2:$J$105,"&gt;0"))</f>
        <v>0.256764510864021</v>
      </c>
      <c r="F2" s="5" t="n">
        <f aca="false">IF(F3="","",SUMIFS(Detail!$Q$2:$Q$105,Detail!$A$2:$A$105,"M1",Detail!$B$2:$B$105,$B2,Detail!$G$2:$G$105,F$1,Detail!$J$2:$J$105,"&gt;0")/SUMIFS(Detail!$J$2:$J$105,Detail!$A$2:$A$105,"M1",Detail!$B$2:$B$105,$B2,Detail!$G$2:$G$105,F$1,Detail!$J$2:$J$105,"&gt;0"))</f>
        <v>0.21095106837164</v>
      </c>
      <c r="G2" s="5" t="n">
        <f aca="false">IF(G3="","",SUMIFS(Detail!$Q$2:$Q$105,Detail!$A$2:$A$105,"M1",Detail!$B$2:$B$105,$B2,Detail!$G$2:$G$105,G$1,Detail!$J$2:$J$105,"&gt;0")/SUMIFS(Detail!$J$2:$J$105,Detail!$A$2:$A$105,"M1",Detail!$B$2:$B$105,$B2,Detail!$G$2:$G$105,G$1,Detail!$J$2:$J$105,"&gt;0"))</f>
        <v>0.436240678766334</v>
      </c>
      <c r="H2" s="5" t="n">
        <f aca="false">IF(H3="","",SUMIFS(Detail!$Q$2:$Q$105,Detail!$A$2:$A$105,"M1",Detail!$B$2:$B$105,$B2,Detail!$G$2:$G$105,H$1,Detail!$J$2:$J$105,"&gt;0")/SUMIFS(Detail!$J$2:$J$105,Detail!$A$2:$A$105,"M1",Detail!$B$2:$B$105,$B2,Detail!$G$2:$G$105,H$1,Detail!$J$2:$J$105,"&gt;0"))</f>
        <v>0.618515562649641</v>
      </c>
      <c r="I2" s="5" t="n">
        <f aca="false">IF(I3="","",SUMIFS(Detail!$Q$2:$Q$105,Detail!$A$2:$A$105,"M1",Detail!$B$2:$B$105,$B2,Detail!$G$2:$G$105,I$1,Detail!$J$2:$J$105,"&gt;0")/SUMIFS(Detail!$J$2:$J$105,Detail!$A$2:$A$105,"M1",Detail!$B$2:$B$105,$B2,Detail!$G$2:$G$105,I$1,Detail!$J$2:$J$105,"&gt;0"))</f>
        <v>0.738582034661886</v>
      </c>
      <c r="J2" s="5" t="n">
        <f aca="false">IF(J3="","",SUMIFS(Detail!$Q$2:$Q$105,Detail!$A$2:$A$105,"M1",Detail!$B$2:$B$105,$B2,Detail!$G$2:$G$105,J$1,Detail!$J$2:$J$105,"&gt;0")/SUMIFS(Detail!$J$2:$J$105,Detail!$A$2:$A$105,"M1",Detail!$B$2:$B$105,$B2,Detail!$G$2:$G$105,J$1,Detail!$J$2:$J$105,"&gt;0"))</f>
        <v>0.925974262474202</v>
      </c>
      <c r="K2" s="5" t="n">
        <f aca="false">IF(K3="","",SUMIFS(Detail!$Q$2:$Q$105,Detail!$A$2:$A$105,"M1",Detail!$B$2:$B$105,$B2,Detail!$G$2:$G$105,K$1,Detail!$J$2:$J$105,"&gt;0")/SUMIFS(Detail!$J$2:$J$105,Detail!$A$2:$A$105,"M1",Detail!$B$2:$B$105,$B2,Detail!$G$2:$G$105,K$1,Detail!$J$2:$J$105,"&gt;0"))</f>
        <v>0.914823261117446</v>
      </c>
      <c r="L2" s="5" t="n">
        <f aca="false">IF(L3="","",SUMIFS(Detail!$Q$2:$Q$105,Detail!$A$2:$A$105,"M1",Detail!$B$2:$B$105,$B2,Detail!$G$2:$G$105,L$1,Detail!$J$2:$J$105,"&gt;0")/SUMIFS(Detail!$J$2:$J$105,Detail!$A$2:$A$105,"M1",Detail!$B$2:$B$105,$B2,Detail!$G$2:$G$105,L$1,Detail!$J$2:$J$105,"&gt;0"))</f>
        <v>1</v>
      </c>
      <c r="M2" s="5" t="n">
        <f aca="false">IF(M3="","",SUMIFS(Detail!$Q$2:$Q$105,Detail!$A$2:$A$105,"M1",Detail!$B$2:$B$105,$B2,Detail!$G$2:$G$105,M$1,Detail!$J$2:$J$105,"&gt;0")/SUMIFS(Detail!$J$2:$J$105,Detail!$A$2:$A$105,"M1",Detail!$B$2:$B$105,$B2,Detail!$G$2:$G$105,M$1,Detail!$J$2:$J$105,"&gt;0"))</f>
        <v>1</v>
      </c>
      <c r="N2" s="5" t="n">
        <f aca="false">IF(N3="","",SUMIFS(Detail!$Q$2:$Q$105,Detail!$A$2:$A$105,"M1",Detail!$B$2:$B$105,$B2,Detail!$G$2:$G$105,N$1,Detail!$J$2:$J$105,"&gt;0")/SUMIFS(Detail!$J$2:$J$105,Detail!$A$2:$A$105,"M1",Detail!$B$2:$B$105,$B2,Detail!$G$2:$G$105,N$1,Detail!$J$2:$J$105,"&gt;0"))</f>
        <v>1</v>
      </c>
      <c r="O2" s="5" t="n">
        <f aca="false">IF(O3="","",SUMIFS(Detail!$Q$2:$Q$105,Detail!$A$2:$A$105,"M1",Detail!$B$2:$B$105,$B2,Detail!$G$2:$G$105,O$1,Detail!$J$2:$J$105,"&gt;0")/SUMIFS(Detail!$J$2:$J$105,Detail!$A$2:$A$105,"M1",Detail!$B$2:$B$105,$B2,Detail!$G$2:$G$105,O$1,Detail!$J$2:$J$105,"&gt;0"))</f>
        <v>1</v>
      </c>
      <c r="P2" s="5" t="n">
        <f aca="false">IF(P3="","",SUMIFS(Detail!$Q$2:$Q$105,Detail!$A$2:$A$105,"M1",Detail!$B$2:$B$105,$B2,Detail!$G$2:$G$105,P$1,Detail!$J$2:$J$105,"&gt;0")/SUMIFS(Detail!$J$2:$J$105,Detail!$A$2:$A$105,"M1",Detail!$B$2:$B$105,$B2,Detail!$G$2:$G$105,P$1,Detail!$J$2:$J$105,"&gt;0"))</f>
        <v>1</v>
      </c>
      <c r="Q2" s="5" t="n">
        <f aca="false">IF(Q3="","",SUMIFS(Detail!$Q$2:$Q$105,Detail!$A$2:$A$105,"M1",Detail!$B$2:$B$105,$B2,Detail!$G$2:$G$105,Q$1,Detail!$J$2:$J$105,"&gt;0")/SUMIFS(Detail!$J$2:$J$105,Detail!$A$2:$A$105,"M1",Detail!$B$2:$B$105,$B2,Detail!$G$2:$G$105,Q$1,Detail!$J$2:$J$105,"&gt;0"))</f>
        <v>1</v>
      </c>
      <c r="R2" s="5" t="n">
        <f aca="false">IF(R3="","",SUMIFS(Detail!$Q$2:$Q$105,Detail!$A$2:$A$105,"M1",Detail!$B$2:$B$105,$B2,Detail!$G$2:$G$105,R$1,Detail!$J$2:$J$105,"&gt;0")/SUMIFS(Detail!$J$2:$J$105,Detail!$A$2:$A$105,"M1",Detail!$B$2:$B$105,$B2,Detail!$G$2:$G$105,R$1,Detail!$J$2:$J$105,"&gt;0"))</f>
        <v>1</v>
      </c>
      <c r="S2" s="5" t="n">
        <f aca="false">IF(S3="","",SUMIFS(Detail!$Q$2:$Q$105,Detail!$A$2:$A$105,"M1",Detail!$B$2:$B$105,$B2,Detail!$G$2:$G$105,S$1,Detail!$J$2:$J$105,"&gt;0")/SUMIFS(Detail!$J$2:$J$105,Detail!$A$2:$A$105,"M1",Detail!$B$2:$B$105,$B2,Detail!$G$2:$G$105,S$1,Detail!$J$2:$J$105,"&gt;0"))</f>
        <v>1</v>
      </c>
      <c r="T2" s="5" t="n">
        <f aca="false">IF(T3="","",SUMIFS(Detail!$Q$2:$Q$105,Detail!$A$2:$A$105,"M1",Detail!$B$2:$B$105,$B2,Detail!$G$2:$G$105,T$1,Detail!$J$2:$J$105,"&gt;0")/SUMIFS(Detail!$J$2:$J$105,Detail!$A$2:$A$105,"M1",Detail!$B$2:$B$105,$B2,Detail!$G$2:$G$105,T$1,Detail!$J$2:$J$105,"&gt;0"))</f>
        <v>0.999835733450145</v>
      </c>
      <c r="U2" s="5" t="n">
        <f aca="false">IF(U3="","",SUMIFS(Detail!$Q$2:$Q$105,Detail!$A$2:$A$105,"M1",Detail!$B$2:$B$105,$B2,Detail!$G$2:$G$105,U$1,Detail!$J$2:$J$105,"&gt;0")/SUMIFS(Detail!$J$2:$J$105,Detail!$A$2:$A$105,"M1",Detail!$B$2:$B$105,$B2,Detail!$G$2:$G$105,U$1,Detail!$J$2:$J$105,"&gt;0"))</f>
        <v>0.999723680574744</v>
      </c>
      <c r="V2" s="5" t="n">
        <f aca="false">IF(V3="","",SUMIFS(Detail!$Q$2:$Q$105,Detail!$A$2:$A$105,"M1",Detail!$B$2:$B$105,$B2,Detail!$G$2:$G$105,V$1,Detail!$J$2:$J$105,"&gt;0")/SUMIFS(Detail!$J$2:$J$105,Detail!$A$2:$A$105,"M1",Detail!$B$2:$B$105,$B2,Detail!$G$2:$G$105,V$1,Detail!$J$2:$J$105,"&gt;0"))</f>
        <v>1</v>
      </c>
    </row>
    <row r="3" customFormat="false" ht="15" hidden="false" customHeight="false" outlineLevel="0" collapsed="false">
      <c r="A3" s="1" t="s">
        <v>20</v>
      </c>
      <c r="B3" s="1" t="n">
        <v>2023</v>
      </c>
      <c r="C3" s="1" t="s">
        <v>25</v>
      </c>
      <c r="D3" s="1" t="str">
        <f aca="false">IF(COUNTIFS(Detail!$A$2:$A$105,"M1",Detail!$B$2:$B$105,$B2,Detail!$G$2:$G$105,D$1,Detail!$J$2:$J$105,"&gt;0")=0,"",COUNTIFS(Detail!$A$2:$A$105,"M1",Detail!$B$2:$B$105,$B2,Detail!$G$2:$G$105,D$1,Detail!$J$2:$J$105,"&gt;0"))</f>
        <v/>
      </c>
      <c r="E3" s="1" t="n">
        <f aca="false">IF(COUNTIFS(Detail!$A$2:$A$105,"M1",Detail!$B$2:$B$105,$B2,Detail!$G$2:$G$105,E$1,Detail!$J$2:$J$105,"&gt;0")=0,"",COUNTIFS(Detail!$A$2:$A$105,"M1",Detail!$B$2:$B$105,$B2,Detail!$G$2:$G$105,E$1,Detail!$J$2:$J$105,"&gt;0"))</f>
        <v>1</v>
      </c>
      <c r="F3" s="1" t="n">
        <f aca="false">IF(COUNTIFS(Detail!$A$2:$A$105,"M1",Detail!$B$2:$B$105,$B2,Detail!$G$2:$G$105,F$1,Detail!$J$2:$J$105,"&gt;0")=0,"",COUNTIFS(Detail!$A$2:$A$105,"M1",Detail!$B$2:$B$105,$B2,Detail!$G$2:$G$105,F$1,Detail!$J$2:$J$105,"&gt;0"))</f>
        <v>2</v>
      </c>
      <c r="G3" s="1" t="n">
        <f aca="false">IF(COUNTIFS(Detail!$A$2:$A$105,"M1",Detail!$B$2:$B$105,$B2,Detail!$G$2:$G$105,G$1,Detail!$J$2:$J$105,"&gt;0")=0,"",COUNTIFS(Detail!$A$2:$A$105,"M1",Detail!$B$2:$B$105,$B2,Detail!$G$2:$G$105,G$1,Detail!$J$2:$J$105,"&gt;0"))</f>
        <v>2</v>
      </c>
      <c r="H3" s="1" t="n">
        <f aca="false">IF(COUNTIFS(Detail!$A$2:$A$105,"M1",Detail!$B$2:$B$105,$B2,Detail!$G$2:$G$105,H$1,Detail!$J$2:$J$105,"&gt;0")=0,"",COUNTIFS(Detail!$A$2:$A$105,"M1",Detail!$B$2:$B$105,$B2,Detail!$G$2:$G$105,H$1,Detail!$J$2:$J$105,"&gt;0"))</f>
        <v>2</v>
      </c>
      <c r="I3" s="1" t="n">
        <f aca="false">IF(COUNTIFS(Detail!$A$2:$A$105,"M1",Detail!$B$2:$B$105,$B2,Detail!$G$2:$G$105,I$1,Detail!$J$2:$J$105,"&gt;0")=0,"",COUNTIFS(Detail!$A$2:$A$105,"M1",Detail!$B$2:$B$105,$B2,Detail!$G$2:$G$105,I$1,Detail!$J$2:$J$105,"&gt;0"))</f>
        <v>2</v>
      </c>
      <c r="J3" s="1" t="n">
        <f aca="false">IF(COUNTIFS(Detail!$A$2:$A$105,"M1",Detail!$B$2:$B$105,$B2,Detail!$G$2:$G$105,J$1,Detail!$J$2:$J$105,"&gt;0")=0,"",COUNTIFS(Detail!$A$2:$A$105,"M1",Detail!$B$2:$B$105,$B2,Detail!$G$2:$G$105,J$1,Detail!$J$2:$J$105,"&gt;0"))</f>
        <v>2</v>
      </c>
      <c r="K3" s="1" t="n">
        <f aca="false">IF(COUNTIFS(Detail!$A$2:$A$105,"M1",Detail!$B$2:$B$105,$B2,Detail!$G$2:$G$105,K$1,Detail!$J$2:$J$105,"&gt;0")=0,"",COUNTIFS(Detail!$A$2:$A$105,"M1",Detail!$B$2:$B$105,$B2,Detail!$G$2:$G$105,K$1,Detail!$J$2:$J$105,"&gt;0"))</f>
        <v>2</v>
      </c>
      <c r="L3" s="1" t="n">
        <f aca="false">IF(COUNTIFS(Detail!$A$2:$A$105,"M1",Detail!$B$2:$B$105,$B2,Detail!$G$2:$G$105,L$1,Detail!$J$2:$J$105,"&gt;0")=0,"",COUNTIFS(Detail!$A$2:$A$105,"M1",Detail!$B$2:$B$105,$B2,Detail!$G$2:$G$105,L$1,Detail!$J$2:$J$105,"&gt;0"))</f>
        <v>2</v>
      </c>
      <c r="M3" s="1" t="n">
        <f aca="false">IF(COUNTIFS(Detail!$A$2:$A$105,"M1",Detail!$B$2:$B$105,$B2,Detail!$G$2:$G$105,M$1,Detail!$J$2:$J$105,"&gt;0")=0,"",COUNTIFS(Detail!$A$2:$A$105,"M1",Detail!$B$2:$B$105,$B2,Detail!$G$2:$G$105,M$1,Detail!$J$2:$J$105,"&gt;0"))</f>
        <v>2</v>
      </c>
      <c r="N3" s="1" t="n">
        <f aca="false">IF(COUNTIFS(Detail!$A$2:$A$105,"M1",Detail!$B$2:$B$105,$B2,Detail!$G$2:$G$105,N$1,Detail!$J$2:$J$105,"&gt;0")=0,"",COUNTIFS(Detail!$A$2:$A$105,"M1",Detail!$B$2:$B$105,$B2,Detail!$G$2:$G$105,N$1,Detail!$J$2:$J$105,"&gt;0"))</f>
        <v>2</v>
      </c>
      <c r="O3" s="1" t="n">
        <f aca="false">IF(COUNTIFS(Detail!$A$2:$A$105,"M1",Detail!$B$2:$B$105,$B2,Detail!$G$2:$G$105,O$1,Detail!$J$2:$J$105,"&gt;0")=0,"",COUNTIFS(Detail!$A$2:$A$105,"M1",Detail!$B$2:$B$105,$B2,Detail!$G$2:$G$105,O$1,Detail!$J$2:$J$105,"&gt;0"))</f>
        <v>2</v>
      </c>
      <c r="P3" s="1" t="n">
        <f aca="false">IF(COUNTIFS(Detail!$A$2:$A$105,"M1",Detail!$B$2:$B$105,$B2,Detail!$G$2:$G$105,P$1,Detail!$J$2:$J$105,"&gt;0")=0,"",COUNTIFS(Detail!$A$2:$A$105,"M1",Detail!$B$2:$B$105,$B2,Detail!$G$2:$G$105,P$1,Detail!$J$2:$J$105,"&gt;0"))</f>
        <v>2</v>
      </c>
      <c r="Q3" s="1" t="n">
        <f aca="false">IF(COUNTIFS(Detail!$A$2:$A$105,"M1",Detail!$B$2:$B$105,$B2,Detail!$G$2:$G$105,Q$1,Detail!$J$2:$J$105,"&gt;0")=0,"",COUNTIFS(Detail!$A$2:$A$105,"M1",Detail!$B$2:$B$105,$B2,Detail!$G$2:$G$105,Q$1,Detail!$J$2:$J$105,"&gt;0"))</f>
        <v>2</v>
      </c>
      <c r="R3" s="1" t="n">
        <f aca="false">IF(COUNTIFS(Detail!$A$2:$A$105,"M1",Detail!$B$2:$B$105,$B2,Detail!$G$2:$G$105,R$1,Detail!$J$2:$J$105,"&gt;0")=0,"",COUNTIFS(Detail!$A$2:$A$105,"M1",Detail!$B$2:$B$105,$B2,Detail!$G$2:$G$105,R$1,Detail!$J$2:$J$105,"&gt;0"))</f>
        <v>2</v>
      </c>
      <c r="S3" s="1" t="n">
        <f aca="false">IF(COUNTIFS(Detail!$A$2:$A$105,"M1",Detail!$B$2:$B$105,$B2,Detail!$G$2:$G$105,S$1,Detail!$J$2:$J$105,"&gt;0")=0,"",COUNTIFS(Detail!$A$2:$A$105,"M1",Detail!$B$2:$B$105,$B2,Detail!$G$2:$G$105,S$1,Detail!$J$2:$J$105,"&gt;0"))</f>
        <v>2</v>
      </c>
      <c r="T3" s="1" t="n">
        <f aca="false">IF(COUNTIFS(Detail!$A$2:$A$105,"M1",Detail!$B$2:$B$105,$B2,Detail!$G$2:$G$105,T$1,Detail!$J$2:$J$105,"&gt;0")=0,"",COUNTIFS(Detail!$A$2:$A$105,"M1",Detail!$B$2:$B$105,$B2,Detail!$G$2:$G$105,T$1,Detail!$J$2:$J$105,"&gt;0"))</f>
        <v>2</v>
      </c>
      <c r="U3" s="1" t="n">
        <f aca="false">IF(COUNTIFS(Detail!$A$2:$A$105,"M1",Detail!$B$2:$B$105,$B2,Detail!$G$2:$G$105,U$1,Detail!$J$2:$J$105,"&gt;0")=0,"",COUNTIFS(Detail!$A$2:$A$105,"M1",Detail!$B$2:$B$105,$B2,Detail!$G$2:$G$105,U$1,Detail!$J$2:$J$105,"&gt;0"))</f>
        <v>2</v>
      </c>
      <c r="V3" s="1" t="n">
        <f aca="false">IF(COUNTIFS(Detail!$A$2:$A$105,"M1",Detail!$B$2:$B$105,$B2,Detail!$G$2:$G$105,V$1,Detail!$J$2:$J$105,"&gt;0")=0,"",COUNTIFS(Detail!$A$2:$A$105,"M1",Detail!$B$2:$B$105,$B2,Detail!$G$2:$G$105,V$1,Detail!$J$2:$J$105,"&gt;0"))</f>
        <v>1</v>
      </c>
    </row>
    <row r="4" customFormat="false" ht="15" hidden="false" customHeight="false" outlineLevel="0" collapsed="false">
      <c r="A4" s="1" t="s">
        <v>20</v>
      </c>
      <c r="B4" s="1" t="n">
        <v>2023</v>
      </c>
      <c r="C4" s="1" t="s">
        <v>26</v>
      </c>
      <c r="D4" s="3" t="str">
        <f aca="false">IF(D3="","",SUMIFS(Detail!$P$2:$P$105,Detail!$A$2:$A$105,"M1",Detail!$B$2:$B$105,$B2,Detail!$G$2:$G$105,D$1,Detail!$J$2:$J$105,"&gt;0")/SUMIFS(Detail!$J$2:$J$105,Detail!$A$2:$A$105,"M1",Detail!$B$2:$B$105,$B2,Detail!$G$2:$G$105,D$1,Detail!$J$2:$J$105,"&gt;0"))</f>
        <v/>
      </c>
      <c r="E4" s="3" t="n">
        <f aca="false">IF(E3="","",SUMIFS(Detail!$P$2:$P$105,Detail!$A$2:$A$105,"M1",Detail!$B$2:$B$105,$B2,Detail!$G$2:$G$105,E$1,Detail!$J$2:$J$105,"&gt;0")/SUMIFS(Detail!$J$2:$J$105,Detail!$A$2:$A$105,"M1",Detail!$B$2:$B$105,$B2,Detail!$G$2:$G$105,E$1,Detail!$J$2:$J$105,"&gt;0"))</f>
        <v>0.370804880254926</v>
      </c>
      <c r="F4" s="3" t="n">
        <f aca="false">IF(F3="","",SUMIFS(Detail!$P$2:$P$105,Detail!$A$2:$A$105,"M1",Detail!$B$2:$B$105,$B2,Detail!$G$2:$G$105,F$1,Detail!$J$2:$J$105,"&gt;0")/SUMIFS(Detail!$J$2:$J$105,Detail!$A$2:$A$105,"M1",Detail!$B$2:$B$105,$B2,Detail!$G$2:$G$105,F$1,Detail!$J$2:$J$105,"&gt;0"))</f>
        <v>0.512222804291256</v>
      </c>
      <c r="G4" s="3" t="n">
        <f aca="false">IF(G3="","",SUMIFS(Detail!$P$2:$P$105,Detail!$A$2:$A$105,"M1",Detail!$B$2:$B$105,$B2,Detail!$G$2:$G$105,G$1,Detail!$J$2:$J$105,"&gt;0")/SUMIFS(Detail!$J$2:$J$105,Detail!$A$2:$A$105,"M1",Detail!$B$2:$B$105,$B2,Detail!$G$2:$G$105,G$1,Detail!$J$2:$J$105,"&gt;0"))</f>
        <v>0.630296611314944</v>
      </c>
      <c r="H4" s="3" t="n">
        <f aca="false">IF(H3="","",SUMIFS(Detail!$P$2:$P$105,Detail!$A$2:$A$105,"M1",Detail!$B$2:$B$105,$B2,Detail!$G$2:$G$105,H$1,Detail!$J$2:$J$105,"&gt;0")/SUMIFS(Detail!$J$2:$J$105,Detail!$A$2:$A$105,"M1",Detail!$B$2:$B$105,$B2,Detail!$G$2:$G$105,H$1,Detail!$J$2:$J$105,"&gt;0"))</f>
        <v>0.853677478181752</v>
      </c>
      <c r="I4" s="3" t="n">
        <f aca="false">IF(I3="","",SUMIFS(Detail!$P$2:$P$105,Detail!$A$2:$A$105,"M1",Detail!$B$2:$B$105,$B2,Detail!$G$2:$G$105,I$1,Detail!$J$2:$J$105,"&gt;0")/SUMIFS(Detail!$J$2:$J$105,Detail!$A$2:$A$105,"M1",Detail!$B$2:$B$105,$B2,Detail!$G$2:$G$105,I$1,Detail!$J$2:$J$105,"&gt;0"))</f>
        <v>0.893108576555531</v>
      </c>
      <c r="J4" s="3" t="n">
        <f aca="false">IF(J3="","",SUMIFS(Detail!$P$2:$P$105,Detail!$A$2:$A$105,"M1",Detail!$B$2:$B$105,$B2,Detail!$G$2:$G$105,J$1,Detail!$J$2:$J$105,"&gt;0")/SUMIFS(Detail!$J$2:$J$105,Detail!$A$2:$A$105,"M1",Detail!$B$2:$B$105,$B2,Detail!$G$2:$G$105,J$1,Detail!$J$2:$J$105,"&gt;0"))</f>
        <v>0.942644911270879</v>
      </c>
      <c r="K4" s="3" t="n">
        <f aca="false">IF(K3="","",SUMIFS(Detail!$P$2:$P$105,Detail!$A$2:$A$105,"M1",Detail!$B$2:$B$105,$B2,Detail!$G$2:$G$105,K$1,Detail!$J$2:$J$105,"&gt;0")/SUMIFS(Detail!$J$2:$J$105,Detail!$A$2:$A$105,"M1",Detail!$B$2:$B$105,$B2,Detail!$G$2:$G$105,K$1,Detail!$J$2:$J$105,"&gt;0"))</f>
        <v>0.937127599981272</v>
      </c>
      <c r="L4" s="3" t="n">
        <f aca="false">IF(L3="","",SUMIFS(Detail!$P$2:$P$105,Detail!$A$2:$A$105,"M1",Detail!$B$2:$B$105,$B2,Detail!$G$2:$G$105,L$1,Detail!$J$2:$J$105,"&gt;0")/SUMIFS(Detail!$J$2:$J$105,Detail!$A$2:$A$105,"M1",Detail!$B$2:$B$105,$B2,Detail!$G$2:$G$105,L$1,Detail!$J$2:$J$105,"&gt;0"))</f>
        <v>1</v>
      </c>
      <c r="M4" s="3" t="n">
        <f aca="false">IF(M3="","",SUMIFS(Detail!$P$2:$P$105,Detail!$A$2:$A$105,"M1",Detail!$B$2:$B$105,$B2,Detail!$G$2:$G$105,M$1,Detail!$J$2:$J$105,"&gt;0")/SUMIFS(Detail!$J$2:$J$105,Detail!$A$2:$A$105,"M1",Detail!$B$2:$B$105,$B2,Detail!$G$2:$G$105,M$1,Detail!$J$2:$J$105,"&gt;0"))</f>
        <v>1</v>
      </c>
      <c r="N4" s="3" t="n">
        <f aca="false">IF(N3="","",SUMIFS(Detail!$P$2:$P$105,Detail!$A$2:$A$105,"M1",Detail!$B$2:$B$105,$B2,Detail!$G$2:$G$105,N$1,Detail!$J$2:$J$105,"&gt;0")/SUMIFS(Detail!$J$2:$J$105,Detail!$A$2:$A$105,"M1",Detail!$B$2:$B$105,$B2,Detail!$G$2:$G$105,N$1,Detail!$J$2:$J$105,"&gt;0"))</f>
        <v>1</v>
      </c>
      <c r="O4" s="3" t="n">
        <f aca="false">IF(O3="","",SUMIFS(Detail!$P$2:$P$105,Detail!$A$2:$A$105,"M1",Detail!$B$2:$B$105,$B2,Detail!$G$2:$G$105,O$1,Detail!$J$2:$J$105,"&gt;0")/SUMIFS(Detail!$J$2:$J$105,Detail!$A$2:$A$105,"M1",Detail!$B$2:$B$105,$B2,Detail!$G$2:$G$105,O$1,Detail!$J$2:$J$105,"&gt;0"))</f>
        <v>1</v>
      </c>
      <c r="P4" s="3" t="n">
        <f aca="false">IF(P3="","",SUMIFS(Detail!$P$2:$P$105,Detail!$A$2:$A$105,"M1",Detail!$B$2:$B$105,$B2,Detail!$G$2:$G$105,P$1,Detail!$J$2:$J$105,"&gt;0")/SUMIFS(Detail!$J$2:$J$105,Detail!$A$2:$A$105,"M1",Detail!$B$2:$B$105,$B2,Detail!$G$2:$G$105,P$1,Detail!$J$2:$J$105,"&gt;0"))</f>
        <v>1</v>
      </c>
      <c r="Q4" s="3" t="n">
        <f aca="false">IF(Q3="","",SUMIFS(Detail!$P$2:$P$105,Detail!$A$2:$A$105,"M1",Detail!$B$2:$B$105,$B2,Detail!$G$2:$G$105,Q$1,Detail!$J$2:$J$105,"&gt;0")/SUMIFS(Detail!$J$2:$J$105,Detail!$A$2:$A$105,"M1",Detail!$B$2:$B$105,$B2,Detail!$G$2:$G$105,Q$1,Detail!$J$2:$J$105,"&gt;0"))</f>
        <v>1</v>
      </c>
      <c r="R4" s="3" t="n">
        <f aca="false">IF(R3="","",SUMIFS(Detail!$P$2:$P$105,Detail!$A$2:$A$105,"M1",Detail!$B$2:$B$105,$B2,Detail!$G$2:$G$105,R$1,Detail!$J$2:$J$105,"&gt;0")/SUMIFS(Detail!$J$2:$J$105,Detail!$A$2:$A$105,"M1",Detail!$B$2:$B$105,$B2,Detail!$G$2:$G$105,R$1,Detail!$J$2:$J$105,"&gt;0"))</f>
        <v>1</v>
      </c>
      <c r="S4" s="3" t="n">
        <f aca="false">IF(S3="","",SUMIFS(Detail!$P$2:$P$105,Detail!$A$2:$A$105,"M1",Detail!$B$2:$B$105,$B2,Detail!$G$2:$G$105,S$1,Detail!$J$2:$J$105,"&gt;0")/SUMIFS(Detail!$J$2:$J$105,Detail!$A$2:$A$105,"M1",Detail!$B$2:$B$105,$B2,Detail!$G$2:$G$105,S$1,Detail!$J$2:$J$105,"&gt;0"))</f>
        <v>1</v>
      </c>
      <c r="T4" s="3" t="n">
        <f aca="false">IF(T3="","",SUMIFS(Detail!$P$2:$P$105,Detail!$A$2:$A$105,"M1",Detail!$B$2:$B$105,$B2,Detail!$G$2:$G$105,T$1,Detail!$J$2:$J$105,"&gt;0")/SUMIFS(Detail!$J$2:$J$105,Detail!$A$2:$A$105,"M1",Detail!$B$2:$B$105,$B2,Detail!$G$2:$G$105,T$1,Detail!$J$2:$J$105,"&gt;0"))</f>
        <v>0.999920283805012</v>
      </c>
      <c r="U4" s="3" t="n">
        <f aca="false">IF(U3="","",SUMIFS(Detail!$P$2:$P$105,Detail!$A$2:$A$105,"M1",Detail!$B$2:$B$105,$B2,Detail!$G$2:$G$105,U$1,Detail!$J$2:$J$105,"&gt;0")/SUMIFS(Detail!$J$2:$J$105,Detail!$A$2:$A$105,"M1",Detail!$B$2:$B$105,$B2,Detail!$G$2:$G$105,U$1,Detail!$J$2:$J$105,"&gt;0"))</f>
        <v>1</v>
      </c>
      <c r="V4" s="3" t="n">
        <f aca="false">IF(V3="","",SUMIFS(Detail!$P$2:$P$105,Detail!$A$2:$A$105,"M1",Detail!$B$2:$B$105,$B2,Detail!$G$2:$G$105,V$1,Detail!$J$2:$J$105,"&gt;0")/SUMIFS(Detail!$J$2:$J$105,Detail!$A$2:$A$105,"M1",Detail!$B$2:$B$105,$B2,Detail!$G$2:$G$105,V$1,Detail!$J$2:$J$105,"&gt;0"))</f>
        <v>1</v>
      </c>
    </row>
    <row r="5" customFormat="false" ht="15" hidden="false" customHeight="false" outlineLevel="0" collapsed="false">
      <c r="A5" s="1" t="s">
        <v>20</v>
      </c>
      <c r="B5" s="1" t="n">
        <v>2023</v>
      </c>
      <c r="C5" s="1" t="s">
        <v>27</v>
      </c>
      <c r="D5" s="6" t="str">
        <f aca="false">IF(D3="","",D4-D2)</f>
        <v/>
      </c>
      <c r="E5" s="6" t="n">
        <f aca="false">IF(E3="","",E4-E2)</f>
        <v>0.114040369390905</v>
      </c>
      <c r="F5" s="6" t="n">
        <f aca="false">IF(F3="","",F4-F2)</f>
        <v>0.301271735919616</v>
      </c>
      <c r="G5" s="6" t="n">
        <f aca="false">IF(G3="","",G4-G2)</f>
        <v>0.19405593254861</v>
      </c>
      <c r="H5" s="6" t="n">
        <f aca="false">IF(H3="","",H4-H2)</f>
        <v>0.235161915532111</v>
      </c>
      <c r="I5" s="6" t="n">
        <f aca="false">IF(I3="","",I4-I2)</f>
        <v>0.154526541893646</v>
      </c>
      <c r="J5" s="6" t="n">
        <f aca="false">IF(J3="","",J4-J2)</f>
        <v>0.016670648796677</v>
      </c>
      <c r="K5" s="6" t="n">
        <f aca="false">IF(K3="","",K4-K2)</f>
        <v>0.0223043388638264</v>
      </c>
      <c r="L5" s="6" t="n">
        <f aca="false">IF(L3="","",L4-L2)</f>
        <v>0</v>
      </c>
      <c r="M5" s="6" t="n">
        <f aca="false">IF(M3="","",M4-M2)</f>
        <v>0</v>
      </c>
      <c r="N5" s="6" t="n">
        <f aca="false">IF(N3="","",N4-N2)</f>
        <v>0</v>
      </c>
      <c r="O5" s="6" t="n">
        <f aca="false">IF(O3="","",O4-O2)</f>
        <v>0</v>
      </c>
      <c r="P5" s="6" t="n">
        <f aca="false">IF(P3="","",P4-P2)</f>
        <v>0</v>
      </c>
      <c r="Q5" s="6" t="n">
        <f aca="false">IF(Q3="","",Q4-Q2)</f>
        <v>0</v>
      </c>
      <c r="R5" s="6" t="n">
        <f aca="false">IF(R3="","",R4-R2)</f>
        <v>0</v>
      </c>
      <c r="S5" s="6" t="n">
        <f aca="false">IF(S3="","",S4-S2)</f>
        <v>0</v>
      </c>
      <c r="T5" s="6" t="n">
        <f aca="false">IF(T3="","",T4-T2)</f>
        <v>8.45503548668747E-005</v>
      </c>
      <c r="U5" s="6" t="n">
        <f aca="false">IF(U3="","",U4-U2)</f>
        <v>0.000276319425255633</v>
      </c>
      <c r="V5" s="6" t="n">
        <f aca="false">IF(V3="","",V4-V2)</f>
        <v>0</v>
      </c>
    </row>
    <row r="6" customFormat="false" ht="15" hidden="false" customHeight="false" outlineLevel="0" collapsed="false">
      <c r="A6" s="1" t="s">
        <v>20</v>
      </c>
      <c r="B6" s="1" t="n">
        <v>2023</v>
      </c>
      <c r="C6" s="1" t="s">
        <v>28</v>
      </c>
      <c r="D6" s="3" t="str">
        <f aca="false">IF(D3="","",SUMIFS(Detail!$P$2:$P$105,Detail!$A$2:$A$105,"M2",Detail!$B$2:$B$105,$B2,Detail!$G$2:$G$105,D$1,Detail!$J$2:$J$105,"&gt;0")/SUMIFS(Detail!$J$2:$J$105,Detail!$A$2:$A$105,"M2",Detail!$B$2:$B$105,$B2,Detail!$G$2:$G$105,D$1,Detail!$J$2:$J$105,"&gt;0"))</f>
        <v/>
      </c>
      <c r="E6" s="3" t="n">
        <f aca="false">IF(E3="","",SUMIFS(Detail!$P$2:$P$105,Detail!$A$2:$A$105,"M2",Detail!$B$2:$B$105,$B2,Detail!$G$2:$G$105,E$1,Detail!$J$2:$J$105,"&gt;0")/SUMIFS(Detail!$J$2:$J$105,Detail!$A$2:$A$105,"M2",Detail!$B$2:$B$105,$B2,Detail!$G$2:$G$105,E$1,Detail!$J$2:$J$105,"&gt;0"))</f>
        <v>0.30038147089971</v>
      </c>
      <c r="F6" s="3" t="n">
        <f aca="false">IF(F3="","",SUMIFS(Detail!$P$2:$P$105,Detail!$A$2:$A$105,"M2",Detail!$B$2:$B$105,$B2,Detail!$G$2:$G$105,F$1,Detail!$J$2:$J$105,"&gt;0")/SUMIFS(Detail!$J$2:$J$105,Detail!$A$2:$A$105,"M2",Detail!$B$2:$B$105,$B2,Detail!$G$2:$G$105,F$1,Detail!$J$2:$J$105,"&gt;0"))</f>
        <v>0.457831758795133</v>
      </c>
      <c r="G6" s="3" t="n">
        <f aca="false">IF(G3="","",SUMIFS(Detail!$P$2:$P$105,Detail!$A$2:$A$105,"M2",Detail!$B$2:$B$105,$B2,Detail!$G$2:$G$105,G$1,Detail!$J$2:$J$105,"&gt;0")/SUMIFS(Detail!$J$2:$J$105,Detail!$A$2:$A$105,"M2",Detail!$B$2:$B$105,$B2,Detail!$G$2:$G$105,G$1,Detail!$J$2:$J$105,"&gt;0"))</f>
        <v>0.625059878285131</v>
      </c>
      <c r="H6" s="3" t="n">
        <f aca="false">IF(H3="","",SUMIFS(Detail!$P$2:$P$105,Detail!$A$2:$A$105,"M2",Detail!$B$2:$B$105,$B2,Detail!$G$2:$G$105,H$1,Detail!$J$2:$J$105,"&gt;0")/SUMIFS(Detail!$J$2:$J$105,Detail!$A$2:$A$105,"M2",Detail!$B$2:$B$105,$B2,Detail!$G$2:$G$105,H$1,Detail!$J$2:$J$105,"&gt;0"))</f>
        <v>0.786363000435873</v>
      </c>
      <c r="I6" s="3" t="n">
        <f aca="false">IF(I3="","",SUMIFS(Detail!$P$2:$P$105,Detail!$A$2:$A$105,"M2",Detail!$B$2:$B$105,$B2,Detail!$G$2:$G$105,I$1,Detail!$J$2:$J$105,"&gt;0")/SUMIFS(Detail!$J$2:$J$105,Detail!$A$2:$A$105,"M2",Detail!$B$2:$B$105,$B2,Detail!$G$2:$G$105,I$1,Detail!$J$2:$J$105,"&gt;0"))</f>
        <v>0.82225387584959</v>
      </c>
      <c r="J6" s="3" t="n">
        <f aca="false">IF(J3="","",SUMIFS(Detail!$P$2:$P$105,Detail!$A$2:$A$105,"M2",Detail!$B$2:$B$105,$B2,Detail!$G$2:$G$105,J$1,Detail!$J$2:$J$105,"&gt;0")/SUMIFS(Detail!$J$2:$J$105,Detail!$A$2:$A$105,"M2",Detail!$B$2:$B$105,$B2,Detail!$G$2:$G$105,J$1,Detail!$J$2:$J$105,"&gt;0"))</f>
        <v>0.936361109482941</v>
      </c>
      <c r="K6" s="3" t="n">
        <f aca="false">IF(K3="","",SUMIFS(Detail!$P$2:$P$105,Detail!$A$2:$A$105,"M2",Detail!$B$2:$B$105,$B2,Detail!$G$2:$G$105,K$1,Detail!$J$2:$J$105,"&gt;0")/SUMIFS(Detail!$J$2:$J$105,Detail!$A$2:$A$105,"M2",Detail!$B$2:$B$105,$B2,Detail!$G$2:$G$105,K$1,Detail!$J$2:$J$105,"&gt;0"))</f>
        <v>0.937127599981272</v>
      </c>
      <c r="L6" s="3" t="n">
        <f aca="false">IF(L3="","",SUMIFS(Detail!$P$2:$P$105,Detail!$A$2:$A$105,"M2",Detail!$B$2:$B$105,$B2,Detail!$G$2:$G$105,L$1,Detail!$J$2:$J$105,"&gt;0")/SUMIFS(Detail!$J$2:$J$105,Detail!$A$2:$A$105,"M2",Detail!$B$2:$B$105,$B2,Detail!$G$2:$G$105,L$1,Detail!$J$2:$J$105,"&gt;0"))</f>
        <v>1</v>
      </c>
      <c r="M6" s="3" t="n">
        <f aca="false">IF(M3="","",SUMIFS(Detail!$P$2:$P$105,Detail!$A$2:$A$105,"M2",Detail!$B$2:$B$105,$B2,Detail!$G$2:$G$105,M$1,Detail!$J$2:$J$105,"&gt;0")/SUMIFS(Detail!$J$2:$J$105,Detail!$A$2:$A$105,"M2",Detail!$B$2:$B$105,$B2,Detail!$G$2:$G$105,M$1,Detail!$J$2:$J$105,"&gt;0"))</f>
        <v>1</v>
      </c>
      <c r="N6" s="3" t="n">
        <f aca="false">IF(N3="","",SUMIFS(Detail!$P$2:$P$105,Detail!$A$2:$A$105,"M2",Detail!$B$2:$B$105,$B2,Detail!$G$2:$G$105,N$1,Detail!$J$2:$J$105,"&gt;0")/SUMIFS(Detail!$J$2:$J$105,Detail!$A$2:$A$105,"M2",Detail!$B$2:$B$105,$B2,Detail!$G$2:$G$105,N$1,Detail!$J$2:$J$105,"&gt;0"))</f>
        <v>1</v>
      </c>
      <c r="O6" s="3" t="n">
        <f aca="false">IF(O3="","",SUMIFS(Detail!$P$2:$P$105,Detail!$A$2:$A$105,"M2",Detail!$B$2:$B$105,$B2,Detail!$G$2:$G$105,O$1,Detail!$J$2:$J$105,"&gt;0")/SUMIFS(Detail!$J$2:$J$105,Detail!$A$2:$A$105,"M2",Detail!$B$2:$B$105,$B2,Detail!$G$2:$G$105,O$1,Detail!$J$2:$J$105,"&gt;0"))</f>
        <v>1</v>
      </c>
      <c r="P6" s="3" t="n">
        <f aca="false">IF(P3="","",SUMIFS(Detail!$P$2:$P$105,Detail!$A$2:$A$105,"M2",Detail!$B$2:$B$105,$B2,Detail!$G$2:$G$105,P$1,Detail!$J$2:$J$105,"&gt;0")/SUMIFS(Detail!$J$2:$J$105,Detail!$A$2:$A$105,"M2",Detail!$B$2:$B$105,$B2,Detail!$G$2:$G$105,P$1,Detail!$J$2:$J$105,"&gt;0"))</f>
        <v>1</v>
      </c>
      <c r="Q6" s="3" t="n">
        <f aca="false">IF(Q3="","",SUMIFS(Detail!$P$2:$P$105,Detail!$A$2:$A$105,"M2",Detail!$B$2:$B$105,$B2,Detail!$G$2:$G$105,Q$1,Detail!$J$2:$J$105,"&gt;0")/SUMIFS(Detail!$J$2:$J$105,Detail!$A$2:$A$105,"M2",Detail!$B$2:$B$105,$B2,Detail!$G$2:$G$105,Q$1,Detail!$J$2:$J$105,"&gt;0"))</f>
        <v>1</v>
      </c>
      <c r="R6" s="3" t="n">
        <f aca="false">IF(R3="","",SUMIFS(Detail!$P$2:$P$105,Detail!$A$2:$A$105,"M2",Detail!$B$2:$B$105,$B2,Detail!$G$2:$G$105,R$1,Detail!$J$2:$J$105,"&gt;0")/SUMIFS(Detail!$J$2:$J$105,Detail!$A$2:$A$105,"M2",Detail!$B$2:$B$105,$B2,Detail!$G$2:$G$105,R$1,Detail!$J$2:$J$105,"&gt;0"))</f>
        <v>1</v>
      </c>
      <c r="S6" s="3" t="n">
        <f aca="false">IF(S3="","",SUMIFS(Detail!$P$2:$P$105,Detail!$A$2:$A$105,"M2",Detail!$B$2:$B$105,$B2,Detail!$G$2:$G$105,S$1,Detail!$J$2:$J$105,"&gt;0")/SUMIFS(Detail!$J$2:$J$105,Detail!$A$2:$A$105,"M2",Detail!$B$2:$B$105,$B2,Detail!$G$2:$G$105,S$1,Detail!$J$2:$J$105,"&gt;0"))</f>
        <v>1</v>
      </c>
      <c r="T6" s="3" t="n">
        <f aca="false">IF(T3="","",SUMIFS(Detail!$P$2:$P$105,Detail!$A$2:$A$105,"M2",Detail!$B$2:$B$105,$B2,Detail!$G$2:$G$105,T$1,Detail!$J$2:$J$105,"&gt;0")/SUMIFS(Detail!$J$2:$J$105,Detail!$A$2:$A$105,"M2",Detail!$B$2:$B$105,$B2,Detail!$G$2:$G$105,T$1,Detail!$J$2:$J$105,"&gt;0"))</f>
        <v>0.999920283805012</v>
      </c>
      <c r="U6" s="3" t="n">
        <f aca="false">IF(U3="","",SUMIFS(Detail!$P$2:$P$105,Detail!$A$2:$A$105,"M2",Detail!$B$2:$B$105,$B2,Detail!$G$2:$G$105,U$1,Detail!$J$2:$J$105,"&gt;0")/SUMIFS(Detail!$J$2:$J$105,Detail!$A$2:$A$105,"M2",Detail!$B$2:$B$105,$B2,Detail!$G$2:$G$105,U$1,Detail!$J$2:$J$105,"&gt;0"))</f>
        <v>1</v>
      </c>
      <c r="V6" s="3" t="n">
        <f aca="false">IF(V3="","",SUMIFS(Detail!$P$2:$P$105,Detail!$A$2:$A$105,"M2",Detail!$B$2:$B$105,$B2,Detail!$G$2:$G$105,V$1,Detail!$J$2:$J$105,"&gt;0")/SUMIFS(Detail!$J$2:$J$105,Detail!$A$2:$A$105,"M2",Detail!$B$2:$B$105,$B2,Detail!$G$2:$G$105,V$1,Detail!$J$2:$J$105,"&gt;0"))</f>
        <v>1</v>
      </c>
    </row>
    <row r="7" customFormat="false" ht="15" hidden="false" customHeight="false" outlineLevel="0" collapsed="false">
      <c r="A7" s="1" t="s">
        <v>20</v>
      </c>
      <c r="B7" s="1" t="n">
        <v>2023</v>
      </c>
      <c r="C7" s="1" t="s">
        <v>29</v>
      </c>
      <c r="D7" s="6" t="str">
        <f aca="false">IF(D3="","",D6-D2)</f>
        <v/>
      </c>
      <c r="E7" s="6" t="n">
        <f aca="false">IF(E3="","",E6-E2)</f>
        <v>0.0436169600356887</v>
      </c>
      <c r="F7" s="6" t="n">
        <f aca="false">IF(F3="","",F6-F2)</f>
        <v>0.246880690423493</v>
      </c>
      <c r="G7" s="6" t="n">
        <f aca="false">IF(G3="","",G6-G2)</f>
        <v>0.188819199518797</v>
      </c>
      <c r="H7" s="6" t="n">
        <f aca="false">IF(H3="","",H6-H2)</f>
        <v>0.167847437786232</v>
      </c>
      <c r="I7" s="6" t="n">
        <f aca="false">IF(I3="","",I6-I2)</f>
        <v>0.0836718411877044</v>
      </c>
      <c r="J7" s="6" t="n">
        <f aca="false">IF(J3="","",J6-J2)</f>
        <v>0.0103868470087387</v>
      </c>
      <c r="K7" s="6" t="n">
        <f aca="false">IF(K3="","",K6-K2)</f>
        <v>0.0223043388638264</v>
      </c>
      <c r="L7" s="6" t="n">
        <f aca="false">IF(L3="","",L6-L2)</f>
        <v>0</v>
      </c>
      <c r="M7" s="6" t="n">
        <f aca="false">IF(M3="","",M6-M2)</f>
        <v>0</v>
      </c>
      <c r="N7" s="6" t="n">
        <f aca="false">IF(N3="","",N6-N2)</f>
        <v>0</v>
      </c>
      <c r="O7" s="6" t="n">
        <f aca="false">IF(O3="","",O6-O2)</f>
        <v>0</v>
      </c>
      <c r="P7" s="6" t="n">
        <f aca="false">IF(P3="","",P6-P2)</f>
        <v>0</v>
      </c>
      <c r="Q7" s="6" t="n">
        <f aca="false">IF(Q3="","",Q6-Q2)</f>
        <v>0</v>
      </c>
      <c r="R7" s="6" t="n">
        <f aca="false">IF(R3="","",R6-R2)</f>
        <v>0</v>
      </c>
      <c r="S7" s="6" t="n">
        <f aca="false">IF(S3="","",S6-S2)</f>
        <v>0</v>
      </c>
      <c r="T7" s="6" t="n">
        <f aca="false">IF(T3="","",T6-T2)</f>
        <v>8.45503548668747E-005</v>
      </c>
      <c r="U7" s="6" t="n">
        <f aca="false">IF(U3="","",U6-U2)</f>
        <v>0.000276319425255633</v>
      </c>
      <c r="V7" s="6" t="n">
        <f aca="false">IF(V3="","",V6-V2)</f>
        <v>0</v>
      </c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15" hidden="false" customHeight="false" outlineLevel="0" collapsed="false">
      <c r="A10" s="4" t="s">
        <v>20</v>
      </c>
      <c r="B10" s="4" t="n">
        <v>2024</v>
      </c>
      <c r="C10" s="4" t="s">
        <v>24</v>
      </c>
      <c r="D10" s="5" t="str">
        <f aca="false">IF(D11="","",SUMIFS(Detail!$Q$2:$Q$105,Detail!$A$2:$A$105,"M1",Detail!$B$2:$B$105,$B10,Detail!$G$2:$G$105,D$1,Detail!$J$2:$J$105,"&gt;0")/SUMIFS(Detail!$J$2:$J$105,Detail!$A$2:$A$105,"M1",Detail!$B$2:$B$105,$B10,Detail!$G$2:$G$105,D$1,Detail!$J$2:$J$105,"&gt;0"))</f>
        <v/>
      </c>
      <c r="E10" s="5" t="n">
        <f aca="false">IF(E11="","",SUMIFS(Detail!$Q$2:$Q$105,Detail!$A$2:$A$105,"M1",Detail!$B$2:$B$105,$B10,Detail!$G$2:$G$105,E$1,Detail!$J$2:$J$105,"&gt;0")/SUMIFS(Detail!$J$2:$J$105,Detail!$A$2:$A$105,"M1",Detail!$B$2:$B$105,$B10,Detail!$G$2:$G$105,E$1,Detail!$J$2:$J$105,"&gt;0"))</f>
        <v>0.767910544792615</v>
      </c>
      <c r="F10" s="5" t="n">
        <f aca="false">IF(F11="","",SUMIFS(Detail!$Q$2:$Q$105,Detail!$A$2:$A$105,"M1",Detail!$B$2:$B$105,$B10,Detail!$G$2:$G$105,F$1,Detail!$J$2:$J$105,"&gt;0")/SUMIFS(Detail!$J$2:$J$105,Detail!$A$2:$A$105,"M1",Detail!$B$2:$B$105,$B10,Detail!$G$2:$G$105,F$1,Detail!$J$2:$J$105,"&gt;0"))</f>
        <v>0.233359794644771</v>
      </c>
      <c r="G10" s="5" t="n">
        <f aca="false">IF(G11="","",SUMIFS(Detail!$Q$2:$Q$105,Detail!$A$2:$A$105,"M1",Detail!$B$2:$B$105,$B10,Detail!$G$2:$G$105,G$1,Detail!$J$2:$J$105,"&gt;0")/SUMIFS(Detail!$J$2:$J$105,Detail!$A$2:$A$105,"M1",Detail!$B$2:$B$105,$B10,Detail!$G$2:$G$105,G$1,Detail!$J$2:$J$105,"&gt;0"))</f>
        <v>0.159344616492618</v>
      </c>
      <c r="H10" s="5" t="n">
        <f aca="false">IF(H11="","",SUMIFS(Detail!$Q$2:$Q$105,Detail!$A$2:$A$105,"M1",Detail!$B$2:$B$105,$B10,Detail!$G$2:$G$105,H$1,Detail!$J$2:$J$105,"&gt;0")/SUMIFS(Detail!$J$2:$J$105,Detail!$A$2:$A$105,"M1",Detail!$B$2:$B$105,$B10,Detail!$G$2:$G$105,H$1,Detail!$J$2:$J$105,"&gt;0"))</f>
        <v>0.593307752609646</v>
      </c>
      <c r="I10" s="5" t="n">
        <f aca="false">IF(I11="","",SUMIFS(Detail!$Q$2:$Q$105,Detail!$A$2:$A$105,"M1",Detail!$B$2:$B$105,$B10,Detail!$G$2:$G$105,I$1,Detail!$J$2:$J$105,"&gt;0")/SUMIFS(Detail!$J$2:$J$105,Detail!$A$2:$A$105,"M1",Detail!$B$2:$B$105,$B10,Detail!$G$2:$G$105,I$1,Detail!$J$2:$J$105,"&gt;0"))</f>
        <v>0.706335646786097</v>
      </c>
      <c r="J10" s="5" t="n">
        <f aca="false">IF(J11="","",SUMIFS(Detail!$Q$2:$Q$105,Detail!$A$2:$A$105,"M1",Detail!$B$2:$B$105,$B10,Detail!$G$2:$G$105,J$1,Detail!$J$2:$J$105,"&gt;0")/SUMIFS(Detail!$J$2:$J$105,Detail!$A$2:$A$105,"M1",Detail!$B$2:$B$105,$B10,Detail!$G$2:$G$105,J$1,Detail!$J$2:$J$105,"&gt;0"))</f>
        <v>0.952437456738851</v>
      </c>
      <c r="K10" s="5" t="n">
        <f aca="false">IF(K11="","",SUMIFS(Detail!$Q$2:$Q$105,Detail!$A$2:$A$105,"M1",Detail!$B$2:$B$105,$B10,Detail!$G$2:$G$105,K$1,Detail!$J$2:$J$105,"&gt;0")/SUMIFS(Detail!$J$2:$J$105,Detail!$A$2:$A$105,"M1",Detail!$B$2:$B$105,$B10,Detail!$G$2:$G$105,K$1,Detail!$J$2:$J$105,"&gt;0"))</f>
        <v>0.672083333333333</v>
      </c>
      <c r="L10" s="5" t="n">
        <f aca="false">IF(L11="","",SUMIFS(Detail!$Q$2:$Q$105,Detail!$A$2:$A$105,"M1",Detail!$B$2:$B$105,$B10,Detail!$G$2:$G$105,L$1,Detail!$J$2:$J$105,"&gt;0")/SUMIFS(Detail!$J$2:$J$105,Detail!$A$2:$A$105,"M1",Detail!$B$2:$B$105,$B10,Detail!$G$2:$G$105,L$1,Detail!$J$2:$J$105,"&gt;0"))</f>
        <v>1</v>
      </c>
      <c r="M10" s="5" t="n">
        <f aca="false">IF(M11="","",SUMIFS(Detail!$Q$2:$Q$105,Detail!$A$2:$A$105,"M1",Detail!$B$2:$B$105,$B10,Detail!$G$2:$G$105,M$1,Detail!$J$2:$J$105,"&gt;0")/SUMIFS(Detail!$J$2:$J$105,Detail!$A$2:$A$105,"M1",Detail!$B$2:$B$105,$B10,Detail!$G$2:$G$105,M$1,Detail!$J$2:$J$105,"&gt;0"))</f>
        <v>1</v>
      </c>
      <c r="N10" s="5" t="n">
        <f aca="false">IF(N11="","",SUMIFS(Detail!$Q$2:$Q$105,Detail!$A$2:$A$105,"M1",Detail!$B$2:$B$105,$B10,Detail!$G$2:$G$105,N$1,Detail!$J$2:$J$105,"&gt;0")/SUMIFS(Detail!$J$2:$J$105,Detail!$A$2:$A$105,"M1",Detail!$B$2:$B$105,$B10,Detail!$G$2:$G$105,N$1,Detail!$J$2:$J$105,"&gt;0"))</f>
        <v>1</v>
      </c>
      <c r="O10" s="5" t="n">
        <f aca="false">IF(O11="","",SUMIFS(Detail!$Q$2:$Q$105,Detail!$A$2:$A$105,"M1",Detail!$B$2:$B$105,$B10,Detail!$G$2:$G$105,O$1,Detail!$J$2:$J$105,"&gt;0")/SUMIFS(Detail!$J$2:$J$105,Detail!$A$2:$A$105,"M1",Detail!$B$2:$B$105,$B10,Detail!$G$2:$G$105,O$1,Detail!$J$2:$J$105,"&gt;0"))</f>
        <v>1</v>
      </c>
      <c r="P10" s="5" t="n">
        <f aca="false">IF(P11="","",SUMIFS(Detail!$Q$2:$Q$105,Detail!$A$2:$A$105,"M1",Detail!$B$2:$B$105,$B10,Detail!$G$2:$G$105,P$1,Detail!$J$2:$J$105,"&gt;0")/SUMIFS(Detail!$J$2:$J$105,Detail!$A$2:$A$105,"M1",Detail!$B$2:$B$105,$B10,Detail!$G$2:$G$105,P$1,Detail!$J$2:$J$105,"&gt;0"))</f>
        <v>1</v>
      </c>
      <c r="Q10" s="5" t="n">
        <f aca="false">IF(Q11="","",SUMIFS(Detail!$Q$2:$Q$105,Detail!$A$2:$A$105,"M1",Detail!$B$2:$B$105,$B10,Detail!$G$2:$G$105,Q$1,Detail!$J$2:$J$105,"&gt;0")/SUMIFS(Detail!$J$2:$J$105,Detail!$A$2:$A$105,"M1",Detail!$B$2:$B$105,$B10,Detail!$G$2:$G$105,Q$1,Detail!$J$2:$J$105,"&gt;0"))</f>
        <v>1</v>
      </c>
      <c r="R10" s="5" t="n">
        <f aca="false">IF(R11="","",SUMIFS(Detail!$Q$2:$Q$105,Detail!$A$2:$A$105,"M1",Detail!$B$2:$B$105,$B10,Detail!$G$2:$G$105,R$1,Detail!$J$2:$J$105,"&gt;0")/SUMIFS(Detail!$J$2:$J$105,Detail!$A$2:$A$105,"M1",Detail!$B$2:$B$105,$B10,Detail!$G$2:$G$105,R$1,Detail!$J$2:$J$105,"&gt;0"))</f>
        <v>1</v>
      </c>
      <c r="S10" s="5" t="n">
        <f aca="false">IF(S11="","",SUMIFS(Detail!$Q$2:$Q$105,Detail!$A$2:$A$105,"M1",Detail!$B$2:$B$105,$B10,Detail!$G$2:$G$105,S$1,Detail!$J$2:$J$105,"&gt;0")/SUMIFS(Detail!$J$2:$J$105,Detail!$A$2:$A$105,"M1",Detail!$B$2:$B$105,$B10,Detail!$G$2:$G$105,S$1,Detail!$J$2:$J$105,"&gt;0"))</f>
        <v>1</v>
      </c>
      <c r="T10" s="5" t="n">
        <f aca="false">IF(T11="","",SUMIFS(Detail!$Q$2:$Q$105,Detail!$A$2:$A$105,"M1",Detail!$B$2:$B$105,$B10,Detail!$G$2:$G$105,T$1,Detail!$J$2:$J$105,"&gt;0")/SUMIFS(Detail!$J$2:$J$105,Detail!$A$2:$A$105,"M1",Detail!$B$2:$B$105,$B10,Detail!$G$2:$G$105,T$1,Detail!$J$2:$J$105,"&gt;0"))</f>
        <v>1</v>
      </c>
      <c r="U10" s="5" t="n">
        <f aca="false">IF(U11="","",SUMIFS(Detail!$Q$2:$Q$105,Detail!$A$2:$A$105,"M1",Detail!$B$2:$B$105,$B10,Detail!$G$2:$G$105,U$1,Detail!$J$2:$J$105,"&gt;0")/SUMIFS(Detail!$J$2:$J$105,Detail!$A$2:$A$105,"M1",Detail!$B$2:$B$105,$B10,Detail!$G$2:$G$105,U$1,Detail!$J$2:$J$105,"&gt;0"))</f>
        <v>0.999683377308707</v>
      </c>
      <c r="V10" s="5" t="n">
        <f aca="false">IF(V11="","",SUMIFS(Detail!$Q$2:$Q$105,Detail!$A$2:$A$105,"M1",Detail!$B$2:$B$105,$B10,Detail!$G$2:$G$105,V$1,Detail!$J$2:$J$105,"&gt;0")/SUMIFS(Detail!$J$2:$J$105,Detail!$A$2:$A$105,"M1",Detail!$B$2:$B$105,$B10,Detail!$G$2:$G$105,V$1,Detail!$J$2:$J$105,"&gt;0"))</f>
        <v>1</v>
      </c>
    </row>
    <row r="11" customFormat="false" ht="15" hidden="false" customHeight="false" outlineLevel="0" collapsed="false">
      <c r="A11" s="1" t="s">
        <v>20</v>
      </c>
      <c r="B11" s="1" t="n">
        <v>2024</v>
      </c>
      <c r="C11" s="1" t="s">
        <v>25</v>
      </c>
      <c r="D11" s="1" t="str">
        <f aca="false">IF(COUNTIFS(Detail!$A$2:$A$105,"M1",Detail!$B$2:$B$105,$B10,Detail!$G$2:$G$105,D$1,Detail!$J$2:$J$105,"&gt;0")=0,"",COUNTIFS(Detail!$A$2:$A$105,"M1",Detail!$B$2:$B$105,$B10,Detail!$G$2:$G$105,D$1,Detail!$J$2:$J$105,"&gt;0"))</f>
        <v/>
      </c>
      <c r="E11" s="1" t="n">
        <f aca="false">IF(COUNTIFS(Detail!$A$2:$A$105,"M1",Detail!$B$2:$B$105,$B10,Detail!$G$2:$G$105,E$1,Detail!$J$2:$J$105,"&gt;0")=0,"",COUNTIFS(Detail!$A$2:$A$105,"M1",Detail!$B$2:$B$105,$B10,Detail!$G$2:$G$105,E$1,Detail!$J$2:$J$105,"&gt;0"))</f>
        <v>1</v>
      </c>
      <c r="F11" s="1" t="n">
        <f aca="false">IF(COUNTIFS(Detail!$A$2:$A$105,"M1",Detail!$B$2:$B$105,$B10,Detail!$G$2:$G$105,F$1,Detail!$J$2:$J$105,"&gt;0")=0,"",COUNTIFS(Detail!$A$2:$A$105,"M1",Detail!$B$2:$B$105,$B10,Detail!$G$2:$G$105,F$1,Detail!$J$2:$J$105,"&gt;0"))</f>
        <v>1</v>
      </c>
      <c r="G11" s="1" t="n">
        <f aca="false">IF(COUNTIFS(Detail!$A$2:$A$105,"M1",Detail!$B$2:$B$105,$B10,Detail!$G$2:$G$105,G$1,Detail!$J$2:$J$105,"&gt;0")=0,"",COUNTIFS(Detail!$A$2:$A$105,"M1",Detail!$B$2:$B$105,$B10,Detail!$G$2:$G$105,G$1,Detail!$J$2:$J$105,"&gt;0"))</f>
        <v>1</v>
      </c>
      <c r="H11" s="1" t="n">
        <f aca="false">IF(COUNTIFS(Detail!$A$2:$A$105,"M1",Detail!$B$2:$B$105,$B10,Detail!$G$2:$G$105,H$1,Detail!$J$2:$J$105,"&gt;0")=0,"",COUNTIFS(Detail!$A$2:$A$105,"M1",Detail!$B$2:$B$105,$B10,Detail!$G$2:$G$105,H$1,Detail!$J$2:$J$105,"&gt;0"))</f>
        <v>1</v>
      </c>
      <c r="I11" s="1" t="n">
        <f aca="false">IF(COUNTIFS(Detail!$A$2:$A$105,"M1",Detail!$B$2:$B$105,$B10,Detail!$G$2:$G$105,I$1,Detail!$J$2:$J$105,"&gt;0")=0,"",COUNTIFS(Detail!$A$2:$A$105,"M1",Detail!$B$2:$B$105,$B10,Detail!$G$2:$G$105,I$1,Detail!$J$2:$J$105,"&gt;0"))</f>
        <v>1</v>
      </c>
      <c r="J11" s="1" t="n">
        <f aca="false">IF(COUNTIFS(Detail!$A$2:$A$105,"M1",Detail!$B$2:$B$105,$B10,Detail!$G$2:$G$105,J$1,Detail!$J$2:$J$105,"&gt;0")=0,"",COUNTIFS(Detail!$A$2:$A$105,"M1",Detail!$B$2:$B$105,$B10,Detail!$G$2:$G$105,J$1,Detail!$J$2:$J$105,"&gt;0"))</f>
        <v>1</v>
      </c>
      <c r="K11" s="1" t="n">
        <f aca="false">IF(COUNTIFS(Detail!$A$2:$A$105,"M1",Detail!$B$2:$B$105,$B10,Detail!$G$2:$G$105,K$1,Detail!$J$2:$J$105,"&gt;0")=0,"",COUNTIFS(Detail!$A$2:$A$105,"M1",Detail!$B$2:$B$105,$B10,Detail!$G$2:$G$105,K$1,Detail!$J$2:$J$105,"&gt;0"))</f>
        <v>1</v>
      </c>
      <c r="L11" s="1" t="n">
        <f aca="false">IF(COUNTIFS(Detail!$A$2:$A$105,"M1",Detail!$B$2:$B$105,$B10,Detail!$G$2:$G$105,L$1,Detail!$J$2:$J$105,"&gt;0")=0,"",COUNTIFS(Detail!$A$2:$A$105,"M1",Detail!$B$2:$B$105,$B10,Detail!$G$2:$G$105,L$1,Detail!$J$2:$J$105,"&gt;0"))</f>
        <v>1</v>
      </c>
      <c r="M11" s="1" t="n">
        <f aca="false">IF(COUNTIFS(Detail!$A$2:$A$105,"M1",Detail!$B$2:$B$105,$B10,Detail!$G$2:$G$105,M$1,Detail!$J$2:$J$105,"&gt;0")=0,"",COUNTIFS(Detail!$A$2:$A$105,"M1",Detail!$B$2:$B$105,$B10,Detail!$G$2:$G$105,M$1,Detail!$J$2:$J$105,"&gt;0"))</f>
        <v>1</v>
      </c>
      <c r="N11" s="1" t="n">
        <f aca="false">IF(COUNTIFS(Detail!$A$2:$A$105,"M1",Detail!$B$2:$B$105,$B10,Detail!$G$2:$G$105,N$1,Detail!$J$2:$J$105,"&gt;0")=0,"",COUNTIFS(Detail!$A$2:$A$105,"M1",Detail!$B$2:$B$105,$B10,Detail!$G$2:$G$105,N$1,Detail!$J$2:$J$105,"&gt;0"))</f>
        <v>1</v>
      </c>
      <c r="O11" s="1" t="n">
        <f aca="false">IF(COUNTIFS(Detail!$A$2:$A$105,"M1",Detail!$B$2:$B$105,$B10,Detail!$G$2:$G$105,O$1,Detail!$J$2:$J$105,"&gt;0")=0,"",COUNTIFS(Detail!$A$2:$A$105,"M1",Detail!$B$2:$B$105,$B10,Detail!$G$2:$G$105,O$1,Detail!$J$2:$J$105,"&gt;0"))</f>
        <v>1</v>
      </c>
      <c r="P11" s="1" t="n">
        <f aca="false">IF(COUNTIFS(Detail!$A$2:$A$105,"M1",Detail!$B$2:$B$105,$B10,Detail!$G$2:$G$105,P$1,Detail!$J$2:$J$105,"&gt;0")=0,"",COUNTIFS(Detail!$A$2:$A$105,"M1",Detail!$B$2:$B$105,$B10,Detail!$G$2:$G$105,P$1,Detail!$J$2:$J$105,"&gt;0"))</f>
        <v>1</v>
      </c>
      <c r="Q11" s="1" t="n">
        <f aca="false">IF(COUNTIFS(Detail!$A$2:$A$105,"M1",Detail!$B$2:$B$105,$B10,Detail!$G$2:$G$105,Q$1,Detail!$J$2:$J$105,"&gt;0")=0,"",COUNTIFS(Detail!$A$2:$A$105,"M1",Detail!$B$2:$B$105,$B10,Detail!$G$2:$G$105,Q$1,Detail!$J$2:$J$105,"&gt;0"))</f>
        <v>1</v>
      </c>
      <c r="R11" s="1" t="n">
        <f aca="false">IF(COUNTIFS(Detail!$A$2:$A$105,"M1",Detail!$B$2:$B$105,$B10,Detail!$G$2:$G$105,R$1,Detail!$J$2:$J$105,"&gt;0")=0,"",COUNTIFS(Detail!$A$2:$A$105,"M1",Detail!$B$2:$B$105,$B10,Detail!$G$2:$G$105,R$1,Detail!$J$2:$J$105,"&gt;0"))</f>
        <v>1</v>
      </c>
      <c r="S11" s="1" t="n">
        <f aca="false">IF(COUNTIFS(Detail!$A$2:$A$105,"M1",Detail!$B$2:$B$105,$B10,Detail!$G$2:$G$105,S$1,Detail!$J$2:$J$105,"&gt;0")=0,"",COUNTIFS(Detail!$A$2:$A$105,"M1",Detail!$B$2:$B$105,$B10,Detail!$G$2:$G$105,S$1,Detail!$J$2:$J$105,"&gt;0"))</f>
        <v>1</v>
      </c>
      <c r="T11" s="1" t="n">
        <f aca="false">IF(COUNTIFS(Detail!$A$2:$A$105,"M1",Detail!$B$2:$B$105,$B10,Detail!$G$2:$G$105,T$1,Detail!$J$2:$J$105,"&gt;0")=0,"",COUNTIFS(Detail!$A$2:$A$105,"M1",Detail!$B$2:$B$105,$B10,Detail!$G$2:$G$105,T$1,Detail!$J$2:$J$105,"&gt;0"))</f>
        <v>1</v>
      </c>
      <c r="U11" s="1" t="n">
        <f aca="false">IF(COUNTIFS(Detail!$A$2:$A$105,"M1",Detail!$B$2:$B$105,$B10,Detail!$G$2:$G$105,U$1,Detail!$J$2:$J$105,"&gt;0")=0,"",COUNTIFS(Detail!$A$2:$A$105,"M1",Detail!$B$2:$B$105,$B10,Detail!$G$2:$G$105,U$1,Detail!$J$2:$J$105,"&gt;0"))</f>
        <v>1</v>
      </c>
      <c r="V11" s="1" t="n">
        <f aca="false">IF(COUNTIFS(Detail!$A$2:$A$105,"M1",Detail!$B$2:$B$105,$B10,Detail!$G$2:$G$105,V$1,Detail!$J$2:$J$105,"&gt;0")=0,"",COUNTIFS(Detail!$A$2:$A$105,"M1",Detail!$B$2:$B$105,$B10,Detail!$G$2:$G$105,V$1,Detail!$J$2:$J$105,"&gt;0"))</f>
        <v>1</v>
      </c>
    </row>
    <row r="12" customFormat="false" ht="15" hidden="false" customHeight="false" outlineLevel="0" collapsed="false">
      <c r="A12" s="1" t="s">
        <v>20</v>
      </c>
      <c r="B12" s="1" t="n">
        <v>2024</v>
      </c>
      <c r="C12" s="1" t="s">
        <v>26</v>
      </c>
      <c r="D12" s="3" t="str">
        <f aca="false">IF(D11="","",SUMIFS(Detail!$P$2:$P$105,Detail!$A$2:$A$105,"M1",Detail!$B$2:$B$105,$B10,Detail!$G$2:$G$105,D$1,Detail!$J$2:$J$105,"&gt;0")/SUMIFS(Detail!$J$2:$J$105,Detail!$A$2:$A$105,"M1",Detail!$B$2:$B$105,$B10,Detail!$G$2:$G$105,D$1,Detail!$J$2:$J$105,"&gt;0"))</f>
        <v/>
      </c>
      <c r="E12" s="3" t="n">
        <f aca="false">IF(E11="","",SUMIFS(Detail!$P$2:$P$105,Detail!$A$2:$A$105,"M1",Detail!$B$2:$B$105,$B10,Detail!$G$2:$G$105,E$1,Detail!$J$2:$J$105,"&gt;0")/SUMIFS(Detail!$J$2:$J$105,Detail!$A$2:$A$105,"M1",Detail!$B$2:$B$105,$B10,Detail!$G$2:$G$105,E$1,Detail!$J$2:$J$105,"&gt;0"))</f>
        <v>0.838303800670329</v>
      </c>
      <c r="F12" s="3" t="n">
        <f aca="false">IF(F11="","",SUMIFS(Detail!$P$2:$P$105,Detail!$A$2:$A$105,"M1",Detail!$B$2:$B$105,$B10,Detail!$G$2:$G$105,F$1,Detail!$J$2:$J$105,"&gt;0")/SUMIFS(Detail!$J$2:$J$105,Detail!$A$2:$A$105,"M1",Detail!$B$2:$B$105,$B10,Detail!$G$2:$G$105,F$1,Detail!$J$2:$J$105,"&gt;0"))</f>
        <v>0.374438547755099</v>
      </c>
      <c r="G12" s="3" t="n">
        <f aca="false">IF(G11="","",SUMIFS(Detail!$P$2:$P$105,Detail!$A$2:$A$105,"M1",Detail!$B$2:$B$105,$B10,Detail!$G$2:$G$105,G$1,Detail!$J$2:$J$105,"&gt;0")/SUMIFS(Detail!$J$2:$J$105,Detail!$A$2:$A$105,"M1",Detail!$B$2:$B$105,$B10,Detail!$G$2:$G$105,G$1,Detail!$J$2:$J$105,"&gt;0"))</f>
        <v>0.406111211398615</v>
      </c>
      <c r="H12" s="3" t="n">
        <f aca="false">IF(H11="","",SUMIFS(Detail!$P$2:$P$105,Detail!$A$2:$A$105,"M1",Detail!$B$2:$B$105,$B10,Detail!$G$2:$G$105,H$1,Detail!$J$2:$J$105,"&gt;0")/SUMIFS(Detail!$J$2:$J$105,Detail!$A$2:$A$105,"M1",Detail!$B$2:$B$105,$B10,Detail!$G$2:$G$105,H$1,Detail!$J$2:$J$105,"&gt;0"))</f>
        <v>0.68006197784676</v>
      </c>
      <c r="I12" s="3" t="n">
        <f aca="false">IF(I11="","",SUMIFS(Detail!$P$2:$P$105,Detail!$A$2:$A$105,"M1",Detail!$B$2:$B$105,$B10,Detail!$G$2:$G$105,I$1,Detail!$J$2:$J$105,"&gt;0")/SUMIFS(Detail!$J$2:$J$105,Detail!$A$2:$A$105,"M1",Detail!$B$2:$B$105,$B10,Detail!$G$2:$G$105,I$1,Detail!$J$2:$J$105,"&gt;0"))</f>
        <v>0.84964747777152</v>
      </c>
      <c r="J12" s="3" t="n">
        <f aca="false">IF(J11="","",SUMIFS(Detail!$P$2:$P$105,Detail!$A$2:$A$105,"M1",Detail!$B$2:$B$105,$B10,Detail!$G$2:$G$105,J$1,Detail!$J$2:$J$105,"&gt;0")/SUMIFS(Detail!$J$2:$J$105,Detail!$A$2:$A$105,"M1",Detail!$B$2:$B$105,$B10,Detail!$G$2:$G$105,J$1,Detail!$J$2:$J$105,"&gt;0"))</f>
        <v>0.958798113204768</v>
      </c>
      <c r="K12" s="3" t="n">
        <f aca="false">IF(K11="","",SUMIFS(Detail!$P$2:$P$105,Detail!$A$2:$A$105,"M1",Detail!$B$2:$B$105,$B10,Detail!$G$2:$G$105,K$1,Detail!$J$2:$J$105,"&gt;0")/SUMIFS(Detail!$J$2:$J$105,Detail!$A$2:$A$105,"M1",Detail!$B$2:$B$105,$B10,Detail!$G$2:$G$105,K$1,Detail!$J$2:$J$105,"&gt;0"))</f>
        <v>0.715935015772906</v>
      </c>
      <c r="L12" s="3" t="n">
        <f aca="false">IF(L11="","",SUMIFS(Detail!$P$2:$P$105,Detail!$A$2:$A$105,"M1",Detail!$B$2:$B$105,$B10,Detail!$G$2:$G$105,L$1,Detail!$J$2:$J$105,"&gt;0")/SUMIFS(Detail!$J$2:$J$105,Detail!$A$2:$A$105,"M1",Detail!$B$2:$B$105,$B10,Detail!$G$2:$G$105,L$1,Detail!$J$2:$J$105,"&gt;0"))</f>
        <v>1</v>
      </c>
      <c r="M12" s="3" t="n">
        <f aca="false">IF(M11="","",SUMIFS(Detail!$P$2:$P$105,Detail!$A$2:$A$105,"M1",Detail!$B$2:$B$105,$B10,Detail!$G$2:$G$105,M$1,Detail!$J$2:$J$105,"&gt;0")/SUMIFS(Detail!$J$2:$J$105,Detail!$A$2:$A$105,"M1",Detail!$B$2:$B$105,$B10,Detail!$G$2:$G$105,M$1,Detail!$J$2:$J$105,"&gt;0"))</f>
        <v>1</v>
      </c>
      <c r="N12" s="3" t="n">
        <f aca="false">IF(N11="","",SUMIFS(Detail!$P$2:$P$105,Detail!$A$2:$A$105,"M1",Detail!$B$2:$B$105,$B10,Detail!$G$2:$G$105,N$1,Detail!$J$2:$J$105,"&gt;0")/SUMIFS(Detail!$J$2:$J$105,Detail!$A$2:$A$105,"M1",Detail!$B$2:$B$105,$B10,Detail!$G$2:$G$105,N$1,Detail!$J$2:$J$105,"&gt;0"))</f>
        <v>1</v>
      </c>
      <c r="O12" s="3" t="n">
        <f aca="false">IF(O11="","",SUMIFS(Detail!$P$2:$P$105,Detail!$A$2:$A$105,"M1",Detail!$B$2:$B$105,$B10,Detail!$G$2:$G$105,O$1,Detail!$J$2:$J$105,"&gt;0")/SUMIFS(Detail!$J$2:$J$105,Detail!$A$2:$A$105,"M1",Detail!$B$2:$B$105,$B10,Detail!$G$2:$G$105,O$1,Detail!$J$2:$J$105,"&gt;0"))</f>
        <v>1</v>
      </c>
      <c r="P12" s="3" t="n">
        <f aca="false">IF(P11="","",SUMIFS(Detail!$P$2:$P$105,Detail!$A$2:$A$105,"M1",Detail!$B$2:$B$105,$B10,Detail!$G$2:$G$105,P$1,Detail!$J$2:$J$105,"&gt;0")/SUMIFS(Detail!$J$2:$J$105,Detail!$A$2:$A$105,"M1",Detail!$B$2:$B$105,$B10,Detail!$G$2:$G$105,P$1,Detail!$J$2:$J$105,"&gt;0"))</f>
        <v>1</v>
      </c>
      <c r="Q12" s="3" t="n">
        <f aca="false">IF(Q11="","",SUMIFS(Detail!$P$2:$P$105,Detail!$A$2:$A$105,"M1",Detail!$B$2:$B$105,$B10,Detail!$G$2:$G$105,Q$1,Detail!$J$2:$J$105,"&gt;0")/SUMIFS(Detail!$J$2:$J$105,Detail!$A$2:$A$105,"M1",Detail!$B$2:$B$105,$B10,Detail!$G$2:$G$105,Q$1,Detail!$J$2:$J$105,"&gt;0"))</f>
        <v>1</v>
      </c>
      <c r="R12" s="3" t="n">
        <f aca="false">IF(R11="","",SUMIFS(Detail!$P$2:$P$105,Detail!$A$2:$A$105,"M1",Detail!$B$2:$B$105,$B10,Detail!$G$2:$G$105,R$1,Detail!$J$2:$J$105,"&gt;0")/SUMIFS(Detail!$J$2:$J$105,Detail!$A$2:$A$105,"M1",Detail!$B$2:$B$105,$B10,Detail!$G$2:$G$105,R$1,Detail!$J$2:$J$105,"&gt;0"))</f>
        <v>1</v>
      </c>
      <c r="S12" s="3" t="n">
        <f aca="false">IF(S11="","",SUMIFS(Detail!$P$2:$P$105,Detail!$A$2:$A$105,"M1",Detail!$B$2:$B$105,$B10,Detail!$G$2:$G$105,S$1,Detail!$J$2:$J$105,"&gt;0")/SUMIFS(Detail!$J$2:$J$105,Detail!$A$2:$A$105,"M1",Detail!$B$2:$B$105,$B10,Detail!$G$2:$G$105,S$1,Detail!$J$2:$J$105,"&gt;0"))</f>
        <v>1</v>
      </c>
      <c r="T12" s="3" t="n">
        <f aca="false">IF(T11="","",SUMIFS(Detail!$P$2:$P$105,Detail!$A$2:$A$105,"M1",Detail!$B$2:$B$105,$B10,Detail!$G$2:$G$105,T$1,Detail!$J$2:$J$105,"&gt;0")/SUMIFS(Detail!$J$2:$J$105,Detail!$A$2:$A$105,"M1",Detail!$B$2:$B$105,$B10,Detail!$G$2:$G$105,T$1,Detail!$J$2:$J$105,"&gt;0"))</f>
        <v>1</v>
      </c>
      <c r="U12" s="3" t="n">
        <f aca="false">IF(U11="","",SUMIFS(Detail!$P$2:$P$105,Detail!$A$2:$A$105,"M1",Detail!$B$2:$B$105,$B10,Detail!$G$2:$G$105,U$1,Detail!$J$2:$J$105,"&gt;0")/SUMIFS(Detail!$J$2:$J$105,Detail!$A$2:$A$105,"M1",Detail!$B$2:$B$105,$B10,Detail!$G$2:$G$105,U$1,Detail!$J$2:$J$105,"&gt;0"))</f>
        <v>0.999846088457105</v>
      </c>
      <c r="V12" s="3" t="n">
        <f aca="false">IF(V11="","",SUMIFS(Detail!$P$2:$P$105,Detail!$A$2:$A$105,"M1",Detail!$B$2:$B$105,$B10,Detail!$G$2:$G$105,V$1,Detail!$J$2:$J$105,"&gt;0")/SUMIFS(Detail!$J$2:$J$105,Detail!$A$2:$A$105,"M1",Detail!$B$2:$B$105,$B10,Detail!$G$2:$G$105,V$1,Detail!$J$2:$J$105,"&gt;0"))</f>
        <v>1</v>
      </c>
    </row>
    <row r="13" customFormat="false" ht="15" hidden="false" customHeight="false" outlineLevel="0" collapsed="false">
      <c r="A13" s="1" t="s">
        <v>20</v>
      </c>
      <c r="B13" s="1" t="n">
        <v>2024</v>
      </c>
      <c r="C13" s="1" t="s">
        <v>27</v>
      </c>
      <c r="D13" s="6" t="str">
        <f aca="false">IF(D11="","",D12-D10)</f>
        <v/>
      </c>
      <c r="E13" s="6" t="n">
        <f aca="false">IF(E11="","",E12-E10)</f>
        <v>0.0703932558777138</v>
      </c>
      <c r="F13" s="6" t="n">
        <f aca="false">IF(F11="","",F12-F10)</f>
        <v>0.141078753110327</v>
      </c>
      <c r="G13" s="6" t="n">
        <f aca="false">IF(G11="","",G12-G10)</f>
        <v>0.246766594905997</v>
      </c>
      <c r="H13" s="6" t="n">
        <f aca="false">IF(H11="","",H12-H10)</f>
        <v>0.0867542252371134</v>
      </c>
      <c r="I13" s="6" t="n">
        <f aca="false">IF(I11="","",I12-I10)</f>
        <v>0.143311830985423</v>
      </c>
      <c r="J13" s="6" t="n">
        <f aca="false">IF(J11="","",J12-J10)</f>
        <v>0.00636065646591699</v>
      </c>
      <c r="K13" s="6" t="n">
        <f aca="false">IF(K11="","",K12-K10)</f>
        <v>0.0438516824395725</v>
      </c>
      <c r="L13" s="6" t="n">
        <f aca="false">IF(L11="","",L12-L10)</f>
        <v>0</v>
      </c>
      <c r="M13" s="6" t="n">
        <f aca="false">IF(M11="","",M12-M10)</f>
        <v>0</v>
      </c>
      <c r="N13" s="6" t="n">
        <f aca="false">IF(N11="","",N12-N10)</f>
        <v>0</v>
      </c>
      <c r="O13" s="6" t="n">
        <f aca="false">IF(O11="","",O12-O10)</f>
        <v>0</v>
      </c>
      <c r="P13" s="6" t="n">
        <f aca="false">IF(P11="","",P12-P10)</f>
        <v>0</v>
      </c>
      <c r="Q13" s="6" t="n">
        <f aca="false">IF(Q11="","",Q12-Q10)</f>
        <v>0</v>
      </c>
      <c r="R13" s="6" t="n">
        <f aca="false">IF(R11="","",R12-R10)</f>
        <v>0</v>
      </c>
      <c r="S13" s="6" t="n">
        <f aca="false">IF(S11="","",S12-S10)</f>
        <v>0</v>
      </c>
      <c r="T13" s="6" t="n">
        <f aca="false">IF(T11="","",T12-T10)</f>
        <v>0</v>
      </c>
      <c r="U13" s="6" t="n">
        <f aca="false">IF(U11="","",U12-U10)</f>
        <v>0.000162711148397499</v>
      </c>
      <c r="V13" s="6" t="n">
        <f aca="false">IF(V11="","",V12-V10)</f>
        <v>0</v>
      </c>
    </row>
    <row r="14" customFormat="false" ht="15" hidden="false" customHeight="false" outlineLevel="0" collapsed="false">
      <c r="A14" s="1" t="s">
        <v>20</v>
      </c>
      <c r="B14" s="1" t="n">
        <v>2024</v>
      </c>
      <c r="C14" s="1" t="s">
        <v>28</v>
      </c>
      <c r="D14" s="3" t="str">
        <f aca="false">IF(D11="","",SUMIFS(Detail!$P$2:$P$105,Detail!$A$2:$A$105,"M2",Detail!$B$2:$B$105,$B10,Detail!$G$2:$G$105,D$1,Detail!$J$2:$J$105,"&gt;0")/SUMIFS(Detail!$J$2:$J$105,Detail!$A$2:$A$105,"M2",Detail!$B$2:$B$105,$B10,Detail!$G$2:$G$105,D$1,Detail!$J$2:$J$105,"&gt;0"))</f>
        <v/>
      </c>
      <c r="E14" s="3" t="n">
        <f aca="false">IF(E11="","",SUMIFS(Detail!$P$2:$P$105,Detail!$A$2:$A$105,"M2",Detail!$B$2:$B$105,$B10,Detail!$G$2:$G$105,E$1,Detail!$J$2:$J$105,"&gt;0")/SUMIFS(Detail!$J$2:$J$105,Detail!$A$2:$A$105,"M2",Detail!$B$2:$B$105,$B10,Detail!$G$2:$G$105,E$1,Detail!$J$2:$J$105,"&gt;0"))</f>
        <v>0.841311149064617</v>
      </c>
      <c r="F14" s="3" t="n">
        <f aca="false">IF(F11="","",SUMIFS(Detail!$P$2:$P$105,Detail!$A$2:$A$105,"M2",Detail!$B$2:$B$105,$B10,Detail!$G$2:$G$105,F$1,Detail!$J$2:$J$105,"&gt;0")/SUMIFS(Detail!$J$2:$J$105,Detail!$A$2:$A$105,"M2",Detail!$B$2:$B$105,$B10,Detail!$G$2:$G$105,F$1,Detail!$J$2:$J$105,"&gt;0"))</f>
        <v>0.377373327650996</v>
      </c>
      <c r="G14" s="3" t="n">
        <f aca="false">IF(G11="","",SUMIFS(Detail!$P$2:$P$105,Detail!$A$2:$A$105,"M2",Detail!$B$2:$B$105,$B10,Detail!$G$2:$G$105,G$1,Detail!$J$2:$J$105,"&gt;0")/SUMIFS(Detail!$J$2:$J$105,Detail!$A$2:$A$105,"M2",Detail!$B$2:$B$105,$B10,Detail!$G$2:$G$105,G$1,Detail!$J$2:$J$105,"&gt;0"))</f>
        <v>0.321257090384265</v>
      </c>
      <c r="H14" s="3" t="n">
        <f aca="false">IF(H11="","",SUMIFS(Detail!$P$2:$P$105,Detail!$A$2:$A$105,"M2",Detail!$B$2:$B$105,$B10,Detail!$G$2:$G$105,H$1,Detail!$J$2:$J$105,"&gt;0")/SUMIFS(Detail!$J$2:$J$105,Detail!$A$2:$A$105,"M2",Detail!$B$2:$B$105,$B10,Detail!$G$2:$G$105,H$1,Detail!$J$2:$J$105,"&gt;0"))</f>
        <v>0.694706269735774</v>
      </c>
      <c r="I14" s="3" t="n">
        <f aca="false">IF(I11="","",SUMIFS(Detail!$P$2:$P$105,Detail!$A$2:$A$105,"M2",Detail!$B$2:$B$105,$B10,Detail!$G$2:$G$105,I$1,Detail!$J$2:$J$105,"&gt;0")/SUMIFS(Detail!$J$2:$J$105,Detail!$A$2:$A$105,"M2",Detail!$B$2:$B$105,$B10,Detail!$G$2:$G$105,I$1,Detail!$J$2:$J$105,"&gt;0"))</f>
        <v>0.706335646786097</v>
      </c>
      <c r="J14" s="3" t="n">
        <f aca="false">IF(J11="","",SUMIFS(Detail!$P$2:$P$105,Detail!$A$2:$A$105,"M2",Detail!$B$2:$B$105,$B10,Detail!$G$2:$G$105,J$1,Detail!$J$2:$J$105,"&gt;0")/SUMIFS(Detail!$J$2:$J$105,Detail!$A$2:$A$105,"M2",Detail!$B$2:$B$105,$B10,Detail!$G$2:$G$105,J$1,Detail!$J$2:$J$105,"&gt;0"))</f>
        <v>0.952437456738851</v>
      </c>
      <c r="K14" s="3" t="n">
        <f aca="false">IF(K11="","",SUMIFS(Detail!$P$2:$P$105,Detail!$A$2:$A$105,"M2",Detail!$B$2:$B$105,$B10,Detail!$G$2:$G$105,K$1,Detail!$J$2:$J$105,"&gt;0")/SUMIFS(Detail!$J$2:$J$105,Detail!$A$2:$A$105,"M2",Detail!$B$2:$B$105,$B10,Detail!$G$2:$G$105,K$1,Detail!$J$2:$J$105,"&gt;0"))</f>
        <v>0.715935015772906</v>
      </c>
      <c r="L14" s="3" t="n">
        <f aca="false">IF(L11="","",SUMIFS(Detail!$P$2:$P$105,Detail!$A$2:$A$105,"M2",Detail!$B$2:$B$105,$B10,Detail!$G$2:$G$105,L$1,Detail!$J$2:$J$105,"&gt;0")/SUMIFS(Detail!$J$2:$J$105,Detail!$A$2:$A$105,"M2",Detail!$B$2:$B$105,$B10,Detail!$G$2:$G$105,L$1,Detail!$J$2:$J$105,"&gt;0"))</f>
        <v>1</v>
      </c>
      <c r="M14" s="3" t="n">
        <f aca="false">IF(M11="","",SUMIFS(Detail!$P$2:$P$105,Detail!$A$2:$A$105,"M2",Detail!$B$2:$B$105,$B10,Detail!$G$2:$G$105,M$1,Detail!$J$2:$J$105,"&gt;0")/SUMIFS(Detail!$J$2:$J$105,Detail!$A$2:$A$105,"M2",Detail!$B$2:$B$105,$B10,Detail!$G$2:$G$105,M$1,Detail!$J$2:$J$105,"&gt;0"))</f>
        <v>1</v>
      </c>
      <c r="N14" s="3" t="n">
        <f aca="false">IF(N11="","",SUMIFS(Detail!$P$2:$P$105,Detail!$A$2:$A$105,"M2",Detail!$B$2:$B$105,$B10,Detail!$G$2:$G$105,N$1,Detail!$J$2:$J$105,"&gt;0")/SUMIFS(Detail!$J$2:$J$105,Detail!$A$2:$A$105,"M2",Detail!$B$2:$B$105,$B10,Detail!$G$2:$G$105,N$1,Detail!$J$2:$J$105,"&gt;0"))</f>
        <v>1</v>
      </c>
      <c r="O14" s="3" t="n">
        <f aca="false">IF(O11="","",SUMIFS(Detail!$P$2:$P$105,Detail!$A$2:$A$105,"M2",Detail!$B$2:$B$105,$B10,Detail!$G$2:$G$105,O$1,Detail!$J$2:$J$105,"&gt;0")/SUMIFS(Detail!$J$2:$J$105,Detail!$A$2:$A$105,"M2",Detail!$B$2:$B$105,$B10,Detail!$G$2:$G$105,O$1,Detail!$J$2:$J$105,"&gt;0"))</f>
        <v>1</v>
      </c>
      <c r="P14" s="3" t="n">
        <f aca="false">IF(P11="","",SUMIFS(Detail!$P$2:$P$105,Detail!$A$2:$A$105,"M2",Detail!$B$2:$B$105,$B10,Detail!$G$2:$G$105,P$1,Detail!$J$2:$J$105,"&gt;0")/SUMIFS(Detail!$J$2:$J$105,Detail!$A$2:$A$105,"M2",Detail!$B$2:$B$105,$B10,Detail!$G$2:$G$105,P$1,Detail!$J$2:$J$105,"&gt;0"))</f>
        <v>1</v>
      </c>
      <c r="Q14" s="3" t="n">
        <f aca="false">IF(Q11="","",SUMIFS(Detail!$P$2:$P$105,Detail!$A$2:$A$105,"M2",Detail!$B$2:$B$105,$B10,Detail!$G$2:$G$105,Q$1,Detail!$J$2:$J$105,"&gt;0")/SUMIFS(Detail!$J$2:$J$105,Detail!$A$2:$A$105,"M2",Detail!$B$2:$B$105,$B10,Detail!$G$2:$G$105,Q$1,Detail!$J$2:$J$105,"&gt;0"))</f>
        <v>1</v>
      </c>
      <c r="R14" s="3" t="n">
        <f aca="false">IF(R11="","",SUMIFS(Detail!$P$2:$P$105,Detail!$A$2:$A$105,"M2",Detail!$B$2:$B$105,$B10,Detail!$G$2:$G$105,R$1,Detail!$J$2:$J$105,"&gt;0")/SUMIFS(Detail!$J$2:$J$105,Detail!$A$2:$A$105,"M2",Detail!$B$2:$B$105,$B10,Detail!$G$2:$G$105,R$1,Detail!$J$2:$J$105,"&gt;0"))</f>
        <v>1</v>
      </c>
      <c r="S14" s="3" t="n">
        <f aca="false">IF(S11="","",SUMIFS(Detail!$P$2:$P$105,Detail!$A$2:$A$105,"M2",Detail!$B$2:$B$105,$B10,Detail!$G$2:$G$105,S$1,Detail!$J$2:$J$105,"&gt;0")/SUMIFS(Detail!$J$2:$J$105,Detail!$A$2:$A$105,"M2",Detail!$B$2:$B$105,$B10,Detail!$G$2:$G$105,S$1,Detail!$J$2:$J$105,"&gt;0"))</f>
        <v>1</v>
      </c>
      <c r="T14" s="3" t="n">
        <f aca="false">IF(T11="","",SUMIFS(Detail!$P$2:$P$105,Detail!$A$2:$A$105,"M2",Detail!$B$2:$B$105,$B10,Detail!$G$2:$G$105,T$1,Detail!$J$2:$J$105,"&gt;0")/SUMIFS(Detail!$J$2:$J$105,Detail!$A$2:$A$105,"M2",Detail!$B$2:$B$105,$B10,Detail!$G$2:$G$105,T$1,Detail!$J$2:$J$105,"&gt;0"))</f>
        <v>1</v>
      </c>
      <c r="U14" s="3" t="n">
        <f aca="false">IF(U11="","",SUMIFS(Detail!$P$2:$P$105,Detail!$A$2:$A$105,"M2",Detail!$B$2:$B$105,$B10,Detail!$G$2:$G$105,U$1,Detail!$J$2:$J$105,"&gt;0")/SUMIFS(Detail!$J$2:$J$105,Detail!$A$2:$A$105,"M2",Detail!$B$2:$B$105,$B10,Detail!$G$2:$G$105,U$1,Detail!$J$2:$J$105,"&gt;0"))</f>
        <v>0.999846088457105</v>
      </c>
      <c r="V14" s="3" t="n">
        <f aca="false">IF(V11="","",SUMIFS(Detail!$P$2:$P$105,Detail!$A$2:$A$105,"M2",Detail!$B$2:$B$105,$B10,Detail!$G$2:$G$105,V$1,Detail!$J$2:$J$105,"&gt;0")/SUMIFS(Detail!$J$2:$J$105,Detail!$A$2:$A$105,"M2",Detail!$B$2:$B$105,$B10,Detail!$G$2:$G$105,V$1,Detail!$J$2:$J$105,"&gt;0"))</f>
        <v>1</v>
      </c>
    </row>
    <row r="15" customFormat="false" ht="15" hidden="false" customHeight="false" outlineLevel="0" collapsed="false">
      <c r="A15" s="1" t="s">
        <v>20</v>
      </c>
      <c r="B15" s="1" t="n">
        <v>2024</v>
      </c>
      <c r="C15" s="1" t="s">
        <v>29</v>
      </c>
      <c r="D15" s="6" t="str">
        <f aca="false">IF(D11="","",D14-D10)</f>
        <v/>
      </c>
      <c r="E15" s="6" t="n">
        <f aca="false">IF(E11="","",E14-E10)</f>
        <v>0.0734006042720022</v>
      </c>
      <c r="F15" s="6" t="n">
        <f aca="false">IF(F11="","",F14-F10)</f>
        <v>0.144013533006224</v>
      </c>
      <c r="G15" s="6" t="n">
        <f aca="false">IF(G11="","",G14-G10)</f>
        <v>0.161912473891647</v>
      </c>
      <c r="H15" s="6" t="n">
        <f aca="false">IF(H11="","",H14-H10)</f>
        <v>0.101398517126128</v>
      </c>
      <c r="I15" s="6" t="n">
        <f aca="false">IF(I11="","",I14-I10)</f>
        <v>0</v>
      </c>
      <c r="J15" s="6" t="n">
        <f aca="false">IF(J11="","",J14-J10)</f>
        <v>0</v>
      </c>
      <c r="K15" s="6" t="n">
        <f aca="false">IF(K11="","",K14-K10)</f>
        <v>0.0438516824395727</v>
      </c>
      <c r="L15" s="6" t="n">
        <f aca="false">IF(L11="","",L14-L10)</f>
        <v>0</v>
      </c>
      <c r="M15" s="6" t="n">
        <f aca="false">IF(M11="","",M14-M10)</f>
        <v>0</v>
      </c>
      <c r="N15" s="6" t="n">
        <f aca="false">IF(N11="","",N14-N10)</f>
        <v>0</v>
      </c>
      <c r="O15" s="6" t="n">
        <f aca="false">IF(O11="","",O14-O10)</f>
        <v>0</v>
      </c>
      <c r="P15" s="6" t="n">
        <f aca="false">IF(P11="","",P14-P10)</f>
        <v>0</v>
      </c>
      <c r="Q15" s="6" t="n">
        <f aca="false">IF(Q11="","",Q14-Q10)</f>
        <v>0</v>
      </c>
      <c r="R15" s="6" t="n">
        <f aca="false">IF(R11="","",R14-R10)</f>
        <v>0</v>
      </c>
      <c r="S15" s="6" t="n">
        <f aca="false">IF(S11="","",S14-S10)</f>
        <v>0</v>
      </c>
      <c r="T15" s="6" t="n">
        <f aca="false">IF(T11="","",T14-T10)</f>
        <v>0</v>
      </c>
      <c r="U15" s="6" t="n">
        <f aca="false">IF(U11="","",U14-U10)</f>
        <v>0.000162711148397499</v>
      </c>
      <c r="V15" s="6" t="n">
        <f aca="false">IF(V11="","",V14-V10)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6" min="4" style="0" width="11"/>
  </cols>
  <sheetData>
    <row r="1" customFormat="false" ht="15" hidden="false" customHeight="false" outlineLevel="0" collapsed="false">
      <c r="A1" s="2" t="s">
        <v>17</v>
      </c>
      <c r="B1" s="2" t="s">
        <v>18</v>
      </c>
      <c r="C1" s="2" t="s">
        <v>23</v>
      </c>
      <c r="D1" s="2" t="s">
        <v>30</v>
      </c>
      <c r="E1" s="2" t="s">
        <v>31</v>
      </c>
      <c r="F1" s="2" t="s">
        <v>32</v>
      </c>
    </row>
    <row r="2" customFormat="false" ht="15" hidden="false" customHeight="false" outlineLevel="0" collapsed="false">
      <c r="A2" s="1" t="s">
        <v>20</v>
      </c>
      <c r="B2" s="1" t="n">
        <v>2023</v>
      </c>
      <c r="C2" s="1" t="s">
        <v>33</v>
      </c>
      <c r="D2" s="2" t="str">
        <f aca="false">IF($B2+1&gt;2025,"",""&amp;($B2+1))</f>
        <v>2024</v>
      </c>
      <c r="E2" s="2" t="str">
        <f aca="false">IF($B2+2&gt;2025,"",""&amp;($B2+2))</f>
        <v>2025</v>
      </c>
      <c r="F2" s="1"/>
    </row>
    <row r="3" customFormat="false" ht="15" hidden="false" customHeight="false" outlineLevel="0" collapsed="false">
      <c r="A3" s="4" t="s">
        <v>20</v>
      </c>
      <c r="B3" s="4" t="n">
        <v>2023</v>
      </c>
      <c r="C3" s="4" t="s">
        <v>24</v>
      </c>
      <c r="D3" s="7" t="n">
        <f aca="false">IF(D2="","",SUMIFS(Detail!$N$2:$N$105,Detail!$A$2:$A$105,"M1",Detail!$B$2:$B$105,$B2,Detail!$D$2:$D$105,$B2+1))</f>
        <v>42408</v>
      </c>
      <c r="E3" s="7" t="n">
        <f aca="false">IF(E2="","",SUMIFS(Detail!$N$2:$N$105,Detail!$A$2:$A$105,"M1",Detail!$B$2:$B$105,$B2,Detail!$D$2:$D$105,$B2+2))</f>
        <v>0</v>
      </c>
      <c r="F3" s="7" t="n">
        <f aca="false">SUM(D3:E3)</f>
        <v>42408</v>
      </c>
    </row>
    <row r="4" customFormat="false" ht="15" hidden="false" customHeight="false" outlineLevel="0" collapsed="false">
      <c r="A4" s="1" t="s">
        <v>20</v>
      </c>
      <c r="B4" s="1" t="n">
        <v>2023</v>
      </c>
      <c r="C4" s="1" t="s">
        <v>26</v>
      </c>
      <c r="D4" s="8" t="n">
        <f aca="false">IF(D2="","",SUMIFS(Detail!$M$2:$M$105,Detail!$A$2:$A$105,"M1",Detail!$B$2:$B$105,$B2,Detail!$D$2:$D$105,$B2+1))</f>
        <v>128088.784487005</v>
      </c>
      <c r="E4" s="8" t="n">
        <f aca="false">IF(E2="","",SUMIFS(Detail!$M$2:$M$105,Detail!$A$2:$A$105,"M1",Detail!$B$2:$B$105,$B2,Detail!$D$2:$D$105,$B2+2))</f>
        <v>84367.9244788131</v>
      </c>
      <c r="F4" s="8" t="n">
        <f aca="false">SUM(D4:E4)</f>
        <v>212456.708965819</v>
      </c>
    </row>
    <row r="5" customFormat="false" ht="15" hidden="false" customHeight="false" outlineLevel="0" collapsed="false">
      <c r="A5" s="1" t="s">
        <v>20</v>
      </c>
      <c r="B5" s="1" t="n">
        <v>2023</v>
      </c>
      <c r="C5" s="1" t="s">
        <v>27</v>
      </c>
      <c r="D5" s="9" t="n">
        <f aca="false">IF(D2="","",D4-D3)</f>
        <v>85680.7844870054</v>
      </c>
      <c r="E5" s="9" t="n">
        <f aca="false">IF(E2="","",E4-E3)</f>
        <v>84367.9244788131</v>
      </c>
      <c r="F5" s="9" t="n">
        <f aca="false">SUM(D5:E5)</f>
        <v>170048.708965819</v>
      </c>
    </row>
    <row r="6" customFormat="false" ht="15" hidden="false" customHeight="false" outlineLevel="0" collapsed="false">
      <c r="A6" s="1" t="s">
        <v>20</v>
      </c>
      <c r="B6" s="1" t="n">
        <v>2023</v>
      </c>
      <c r="C6" s="1" t="s">
        <v>28</v>
      </c>
      <c r="D6" s="8" t="n">
        <f aca="false">IF(D2="","",SUMIFS(Detail!$M$2:$M$105,Detail!$A$2:$A$105,"M2",Detail!$B$2:$B$105,$B2,Detail!$D$2:$D$105,$B2+1))</f>
        <v>105391.220796463</v>
      </c>
      <c r="E6" s="8" t="n">
        <f aca="false">IF(E2="","",SUMIFS(Detail!$M$2:$M$105,Detail!$A$2:$A$105,"M2",Detail!$B$2:$B$105,$B2,Detail!$D$2:$D$105,$B2+2))</f>
        <v>68185.6844580024</v>
      </c>
      <c r="F6" s="8" t="n">
        <f aca="false">SUM(D6:E6)</f>
        <v>173576.905254466</v>
      </c>
    </row>
    <row r="7" customFormat="false" ht="15" hidden="false" customHeight="false" outlineLevel="0" collapsed="false">
      <c r="A7" s="1" t="s">
        <v>20</v>
      </c>
      <c r="B7" s="1" t="n">
        <v>2023</v>
      </c>
      <c r="C7" s="1" t="s">
        <v>29</v>
      </c>
      <c r="D7" s="9" t="n">
        <f aca="false">IF(D2="","",D6-D3)</f>
        <v>62983.2207964631</v>
      </c>
      <c r="E7" s="9" t="n">
        <f aca="false">IF(E2="","",E6-E3)</f>
        <v>68185.6844580024</v>
      </c>
      <c r="F7" s="9" t="n">
        <f aca="false">SUM(D7:E7)</f>
        <v>131168.905254466</v>
      </c>
    </row>
    <row r="8" customFormat="false" ht="15" hidden="false" customHeight="false" outlineLevel="0" collapsed="false">
      <c r="A8" s="1"/>
      <c r="B8" s="1"/>
      <c r="C8" s="1"/>
      <c r="D8" s="1"/>
      <c r="E8" s="1"/>
      <c r="F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</row>
    <row r="10" customFormat="false" ht="15" hidden="false" customHeight="false" outlineLevel="0" collapsed="false">
      <c r="A10" s="1" t="s">
        <v>20</v>
      </c>
      <c r="B10" s="1" t="n">
        <v>2024</v>
      </c>
      <c r="C10" s="1" t="s">
        <v>33</v>
      </c>
      <c r="D10" s="2" t="str">
        <f aca="false">IF($B10+1&gt;2025,"",""&amp;($B10+1))</f>
        <v>2025</v>
      </c>
      <c r="E10" s="2" t="str">
        <f aca="false">IF($B10+2&gt;2025,"",""&amp;($B10+2))</f>
        <v/>
      </c>
      <c r="F10" s="1"/>
    </row>
    <row r="11" customFormat="false" ht="15" hidden="false" customHeight="false" outlineLevel="0" collapsed="false">
      <c r="A11" s="4" t="s">
        <v>20</v>
      </c>
      <c r="B11" s="4" t="n">
        <v>2024</v>
      </c>
      <c r="C11" s="4" t="s">
        <v>24</v>
      </c>
      <c r="D11" s="7" t="n">
        <f aca="false">IF(D10="","",SUMIFS(Detail!$N$2:$N$105,Detail!$A$2:$A$105,"M1",Detail!$B$2:$B$105,$B10,Detail!$D$2:$D$105,$B10+1))</f>
        <v>1</v>
      </c>
      <c r="E11" s="7" t="str">
        <f aca="false">IF(E10="","",SUMIFS(Detail!$N$2:$N$105,Detail!$A$2:$A$105,"M1",Detail!$B$2:$B$105,$B10,Detail!$D$2:$D$105,$B10+2))</f>
        <v/>
      </c>
      <c r="F11" s="7" t="n">
        <f aca="false">SUM(D11:E11)</f>
        <v>1</v>
      </c>
    </row>
    <row r="12" customFormat="false" ht="15" hidden="false" customHeight="false" outlineLevel="0" collapsed="false">
      <c r="A12" s="1" t="s">
        <v>20</v>
      </c>
      <c r="B12" s="1" t="n">
        <v>2024</v>
      </c>
      <c r="C12" s="1" t="s">
        <v>26</v>
      </c>
      <c r="D12" s="8" t="n">
        <f aca="false">IF(D10="","",SUMIFS(Detail!$M$2:$M$105,Detail!$A$2:$A$105,"M1",Detail!$B$2:$B$105,$B10,Detail!$D$2:$D$105,$B10+1))</f>
        <v>78672.6071873312</v>
      </c>
      <c r="E12" s="8" t="str">
        <f aca="false">IF(E10="","",SUMIFS(Detail!$M$2:$M$105,Detail!$A$2:$A$105,"M1",Detail!$B$2:$B$105,$B10,Detail!$D$2:$D$105,$B10+2))</f>
        <v/>
      </c>
      <c r="F12" s="8" t="n">
        <f aca="false">SUM(D12:E12)</f>
        <v>78672.6071873312</v>
      </c>
    </row>
    <row r="13" customFormat="false" ht="15" hidden="false" customHeight="false" outlineLevel="0" collapsed="false">
      <c r="A13" s="1" t="s">
        <v>20</v>
      </c>
      <c r="B13" s="1" t="n">
        <v>2024</v>
      </c>
      <c r="C13" s="1" t="s">
        <v>27</v>
      </c>
      <c r="D13" s="9" t="n">
        <f aca="false">IF(D10="","",D12-D11)</f>
        <v>78671.6071873312</v>
      </c>
      <c r="E13" s="9" t="str">
        <f aca="false">IF(E10="","",E12-E11)</f>
        <v/>
      </c>
      <c r="F13" s="9" t="n">
        <f aca="false">SUM(D13:E13)</f>
        <v>78671.6071873312</v>
      </c>
    </row>
    <row r="14" customFormat="false" ht="15" hidden="false" customHeight="false" outlineLevel="0" collapsed="false">
      <c r="A14" s="1" t="s">
        <v>20</v>
      </c>
      <c r="B14" s="1" t="n">
        <v>2024</v>
      </c>
      <c r="C14" s="1" t="s">
        <v>28</v>
      </c>
      <c r="D14" s="8" t="n">
        <f aca="false">IF(D10="","",SUMIFS(Detail!$M$2:$M$105,Detail!$A$2:$A$105,"M2",Detail!$B$2:$B$105,$B10,Detail!$D$2:$D$105,$B10+1))</f>
        <v>55977.9307227414</v>
      </c>
      <c r="E14" s="8" t="str">
        <f aca="false">IF(E10="","",SUMIFS(Detail!$M$2:$M$105,Detail!$A$2:$A$105,"M2",Detail!$B$2:$B$105,$B10,Detail!$D$2:$D$105,$B10+2))</f>
        <v/>
      </c>
      <c r="F14" s="8" t="n">
        <f aca="false">SUM(D14:E14)</f>
        <v>55977.9307227414</v>
      </c>
    </row>
    <row r="15" customFormat="false" ht="15" hidden="false" customHeight="false" outlineLevel="0" collapsed="false">
      <c r="A15" s="1" t="s">
        <v>20</v>
      </c>
      <c r="B15" s="1" t="n">
        <v>2024</v>
      </c>
      <c r="C15" s="1" t="s">
        <v>29</v>
      </c>
      <c r="D15" s="9" t="n">
        <f aca="false">IF(D10="","",D14-D11)</f>
        <v>55976.9307227414</v>
      </c>
      <c r="E15" s="9" t="str">
        <f aca="false">IF(E10="","",E14-E11)</f>
        <v/>
      </c>
      <c r="F15" s="9" t="n">
        <f aca="false">SUM(D15:E15)</f>
        <v>55976.9307227414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26" min="3" style="0" width="13"/>
  </cols>
  <sheetData>
    <row r="1" customFormat="false" ht="15" hidden="false" customHeight="false" outlineLevel="0" collapsed="false">
      <c r="A1" s="2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5" hidden="false" customHeight="false" outlineLevel="0" collapsed="false">
      <c r="A3" s="1" t="s">
        <v>35</v>
      </c>
      <c r="B3" s="1"/>
      <c r="C3" s="10" t="n">
        <v>10000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5" hidden="false" customHeight="false" outlineLevel="0" collapsed="false">
      <c r="A5" s="2" t="s">
        <v>17</v>
      </c>
      <c r="B5" s="2" t="s">
        <v>19</v>
      </c>
      <c r="C5" s="2" t="s">
        <v>18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43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48</v>
      </c>
      <c r="Q5" s="2" t="s">
        <v>49</v>
      </c>
      <c r="R5" s="2" t="s">
        <v>50</v>
      </c>
      <c r="S5" s="2" t="s">
        <v>51</v>
      </c>
      <c r="T5" s="2" t="s">
        <v>52</v>
      </c>
      <c r="U5" s="2" t="s">
        <v>53</v>
      </c>
      <c r="V5" s="2" t="s">
        <v>54</v>
      </c>
      <c r="W5" s="2" t="s">
        <v>55</v>
      </c>
      <c r="X5" s="2" t="s">
        <v>56</v>
      </c>
      <c r="Y5" s="2" t="s">
        <v>57</v>
      </c>
    </row>
    <row r="6" customFormat="false" ht="15" hidden="false" customHeight="false" outlineLevel="0" collapsed="false">
      <c r="A6" s="1" t="s">
        <v>20</v>
      </c>
      <c r="B6" s="1" t="s">
        <v>58</v>
      </c>
      <c r="C6" s="1" t="n">
        <v>2023</v>
      </c>
      <c r="D6" s="1" t="s">
        <v>59</v>
      </c>
      <c r="E6" s="1" t="n">
        <f aca="false">COUNTIFS(Detail!$U$2:$U$105,$A6,Detail!$A$2:$A$105,$B6,Detail!$B$2:$B$105,$D6)</f>
        <v>34</v>
      </c>
      <c r="F6" s="8" t="n">
        <f aca="false">SUMIFS(Detail!$M$2:$M$105,Detail!$U$2:$U$105,$A6,Detail!$A$2:$A$105,$B6,Detail!$B$2:$B$105,$D6)</f>
        <v>212456.708965819</v>
      </c>
      <c r="G6" s="8" t="n">
        <f aca="false">SUMIFS(Detail!$N$2:$N$105,Detail!$U$2:$U$105,$A6,Detail!$A$2:$A$105,$B6,Detail!$B$2:$B$105,$D6)</f>
        <v>42408</v>
      </c>
      <c r="H6" s="9" t="n">
        <f aca="false">F6-G6</f>
        <v>170048.708965819</v>
      </c>
      <c r="I6" s="8" t="n">
        <f aca="false">SUMIFS(Detail!$I$2:$I$105,Detail!$U$2:$U$105,$A6,Detail!$A$2:$A$105,$B6,Detail!$B$2:$B$105,$D6,Detail!$E$2:$E$105,1)</f>
        <v>367618</v>
      </c>
      <c r="J6" s="3" t="n">
        <f aca="false">IF(I6&gt;0,ABS(H6)/I6,"")</f>
        <v>0.462569049844726</v>
      </c>
      <c r="K6" s="8" t="n">
        <f aca="false">SUMIFS(Detail!$V$2:$V$105,Detail!$U$2:$U$105,$A6,Detail!$A$2:$A$105,$B6,Detail!$B$2:$B$105,$D6)</f>
        <v>170048.708965819</v>
      </c>
      <c r="L6" s="8" t="n">
        <f aca="false">K6/E6</f>
        <v>5001.43261664172</v>
      </c>
      <c r="M6" s="8" t="n">
        <f aca="false">SUMIFS(Detail!$W$2:$W$105,Detail!$U$2:$U$105,$A6,Detail!$A$2:$A$105,$B6,Detail!$B$2:$B$105,$D6)</f>
        <v>4386017439.85765</v>
      </c>
      <c r="N6" s="8" t="n">
        <f aca="false">SQRT(M6/E6)</f>
        <v>11357.83927237</v>
      </c>
      <c r="O6" s="8" t="n">
        <f aca="false">SUMIFS(Detail!$X$2:$X$105,Detail!$U$2:$U$105,$A6,Detail!$A$2:$A$105,$B6,Detail!$B$2:$B$105,$D6)</f>
        <v>155442.787622871</v>
      </c>
      <c r="P6" s="8" t="n">
        <f aca="false">SUMIFS(Detail!$Y$2:$Y$105,Detail!$U$2:$U$105,$A6,Detail!$A$2:$A$105,$B6,Detail!$B$2:$B$105,$D6)</f>
        <v>1319704037.82729</v>
      </c>
      <c r="Q6" s="3" t="n">
        <f aca="false">IF(I6&gt;0,K6/I6,"")</f>
        <v>0.462569049844726</v>
      </c>
      <c r="R6" s="3" t="n">
        <f aca="false">SUMIFS(Detail!$Z$2:$Z$105,Detail!$U$2:$U$105,$A6,Detail!$A$2:$A$105,$B6,Detail!$B$2:$B$105,$D6,Detail!$J$2:$J$105,"&gt;0")/SUMIFS(Detail!$J$2:$J$105,Detail!$U$2:$U$105,$A6,Detail!$A$2:$A$105,$B6,Detail!$B$2:$B$105,$D6,Detail!$J$2:$J$105,"&gt;0")</f>
        <v>0.16310964108079</v>
      </c>
      <c r="S6" s="3" t="n">
        <f aca="false">SQRT(SUMIFS(Detail!$AA$2:$AA$105,Detail!$U$2:$U$105,$A6,Detail!$A$2:$A$105,$B6,Detail!$B$2:$B$105,$D6,Detail!$J$2:$J$105,"&gt;0")/COUNTIFS(Detail!$U$2:$U$105,$A6,Detail!$A$2:$A$105,$B6,Detail!$B$2:$B$105,$D6,Detail!$J$2:$J$105,"&gt;0"))</f>
        <v>0.123466791774163</v>
      </c>
      <c r="T6" s="1" t="n">
        <f aca="false">SUMPRODUCT(($A$6:$A$11=$A6)*($C$6:$C$11=$C6)*($J$6:$J$11&lt;J6))+1</f>
        <v>2</v>
      </c>
      <c r="U6" s="1" t="n">
        <f aca="false">SUMPRODUCT(($A$6:$A$11=$A6)*($C$6:$C$11=$C6)*($K$6:$K$11&lt;K6))+1</f>
        <v>2</v>
      </c>
      <c r="V6" s="1" t="n">
        <f aca="false">SUMPRODUCT(($A$6:$A$11=$A6)*($C$6:$C$11=$C6)*($N$6:$N$11&lt;N6))+1</f>
        <v>2</v>
      </c>
      <c r="W6" s="1" t="n">
        <f aca="false">SUMPRODUCT(($A$6:$A$11=$A6)*($C$6:$C$11=$C6)*($O$6:$O$11&lt;O6))+1</f>
        <v>2</v>
      </c>
      <c r="X6" s="1" t="n">
        <f aca="false">SUMPRODUCT(($A$6:$A$11=$A6)*($C$6:$C$11=$C6)*($P$6:$P$11&lt;P6))+1</f>
        <v>2</v>
      </c>
      <c r="Y6" s="1" t="n">
        <f aca="false">SUMPRODUCT(($A$6:$A$11=$A6)*($C$6:$C$11=$C6)*($R$6:$R$11&lt;R6))+1</f>
        <v>2</v>
      </c>
    </row>
    <row r="7" customFormat="false" ht="15" hidden="false" customHeight="false" outlineLevel="0" collapsed="false">
      <c r="A7" s="1" t="s">
        <v>20</v>
      </c>
      <c r="B7" s="1" t="s">
        <v>58</v>
      </c>
      <c r="C7" s="1" t="n">
        <v>2024</v>
      </c>
      <c r="D7" s="1" t="s">
        <v>60</v>
      </c>
      <c r="E7" s="1" t="n">
        <f aca="false">COUNTIFS(Detail!$U$2:$U$105,$A7,Detail!$A$2:$A$105,$B7,Detail!$B$2:$B$105,$D7)</f>
        <v>18</v>
      </c>
      <c r="F7" s="8" t="n">
        <f aca="false">SUMIFS(Detail!$M$2:$M$105,Detail!$U$2:$U$105,$A7,Detail!$A$2:$A$105,$B7,Detail!$B$2:$B$105,$D7)</f>
        <v>78672.6071873312</v>
      </c>
      <c r="G7" s="8" t="n">
        <f aca="false">SUMIFS(Detail!$N$2:$N$105,Detail!$U$2:$U$105,$A7,Detail!$A$2:$A$105,$B7,Detail!$B$2:$B$105,$D7)</f>
        <v>1</v>
      </c>
      <c r="H7" s="9" t="n">
        <f aca="false">F7-G7</f>
        <v>78671.6071873312</v>
      </c>
      <c r="I7" s="8" t="n">
        <f aca="false">SUMIFS(Detail!$I$2:$I$105,Detail!$U$2:$U$105,$A7,Detail!$A$2:$A$105,$B7,Detail!$B$2:$B$105,$D7,Detail!$E$2:$E$105,1)</f>
        <v>312633</v>
      </c>
      <c r="J7" s="3" t="n">
        <f aca="false">IF(I7&gt;0,ABS(H7)/I7,"")</f>
        <v>0.251642044145472</v>
      </c>
      <c r="K7" s="8" t="n">
        <f aca="false">SUMIFS(Detail!$V$2:$V$105,Detail!$U$2:$U$105,$A7,Detail!$A$2:$A$105,$B7,Detail!$B$2:$B$105,$D7)</f>
        <v>78671.6071873312</v>
      </c>
      <c r="L7" s="8" t="n">
        <f aca="false">K7/E7</f>
        <v>4370.64484374062</v>
      </c>
      <c r="M7" s="8" t="n">
        <f aca="false">SUMIFS(Detail!$W$2:$W$105,Detail!$U$2:$U$105,$A7,Detail!$A$2:$A$105,$B7,Detail!$B$2:$B$105,$D7)</f>
        <v>1555235795.79791</v>
      </c>
      <c r="N7" s="8" t="n">
        <f aca="false">SQRT(M7/E7)</f>
        <v>9295.26700291278</v>
      </c>
      <c r="O7" s="8" t="n">
        <f aca="false">SUMIFS(Detail!$X$2:$X$105,Detail!$U$2:$U$105,$A7,Detail!$A$2:$A$105,$B7,Detail!$B$2:$B$105,$D7)</f>
        <v>78670.6090310076</v>
      </c>
      <c r="P7" s="8" t="n">
        <f aca="false">SUMIFS(Detail!$Y$2:$Y$105,Detail!$U$2:$U$105,$A7,Detail!$A$2:$A$105,$B7,Detail!$B$2:$B$105,$D7)</f>
        <v>578475222.959827</v>
      </c>
      <c r="Q7" s="3" t="n">
        <f aca="false">IF(I7&gt;0,K7/I7,"")</f>
        <v>0.251642044145472</v>
      </c>
      <c r="R7" s="3" t="n">
        <f aca="false">SUMIFS(Detail!$Z$2:$Z$105,Detail!$U$2:$U$105,$A7,Detail!$A$2:$A$105,$B7,Detail!$B$2:$B$105,$D7,Detail!$J$2:$J$105,"&gt;0")/SUMIFS(Detail!$J$2:$J$105,Detail!$U$2:$U$105,$A7,Detail!$A$2:$A$105,$B7,Detail!$B$2:$B$105,$D7,Detail!$J$2:$J$105,"&gt;0")</f>
        <v>0.101218283489459</v>
      </c>
      <c r="S7" s="3" t="n">
        <f aca="false">SQRT(SUMIFS(Detail!$AA$2:$AA$105,Detail!$U$2:$U$105,$A7,Detail!$A$2:$A$105,$B7,Detail!$B$2:$B$105,$D7,Detail!$J$2:$J$105,"&gt;0")/COUNTIFS(Detail!$U$2:$U$105,$A7,Detail!$A$2:$A$105,$B7,Detail!$B$2:$B$105,$D7,Detail!$J$2:$J$105,"&gt;0"))</f>
        <v>0.0802012082165132</v>
      </c>
      <c r="T7" s="1" t="n">
        <f aca="false">SUMPRODUCT(($A$6:$A$11=$A7)*($C$6:$C$11=$C7)*($J$6:$J$11&lt;J7))+1</f>
        <v>2</v>
      </c>
      <c r="U7" s="1" t="n">
        <f aca="false">SUMPRODUCT(($A$6:$A$11=$A7)*($C$6:$C$11=$C7)*($K$6:$K$11&lt;K7))+1</f>
        <v>2</v>
      </c>
      <c r="V7" s="1" t="n">
        <f aca="false">SUMPRODUCT(($A$6:$A$11=$A7)*($C$6:$C$11=$C7)*($N$6:$N$11&lt;N7))+1</f>
        <v>2</v>
      </c>
      <c r="W7" s="1" t="n">
        <f aca="false">SUMPRODUCT(($A$6:$A$11=$A7)*($C$6:$C$11=$C7)*($O$6:$O$11&lt;O7))+1</f>
        <v>2</v>
      </c>
      <c r="X7" s="1" t="n">
        <f aca="false">SUMPRODUCT(($A$6:$A$11=$A7)*($C$6:$C$11=$C7)*($P$6:$P$11&lt;P7))+1</f>
        <v>2</v>
      </c>
      <c r="Y7" s="1" t="n">
        <f aca="false">SUMPRODUCT(($A$6:$A$11=$A7)*($C$6:$C$11=$C7)*($R$6:$R$11&lt;R7))+1</f>
        <v>2</v>
      </c>
    </row>
    <row r="8" customFormat="false" ht="15" hidden="false" customHeight="false" outlineLevel="0" collapsed="false">
      <c r="A8" s="1" t="s">
        <v>20</v>
      </c>
      <c r="B8" s="1" t="s">
        <v>58</v>
      </c>
      <c r="C8" s="1" t="s">
        <v>61</v>
      </c>
      <c r="D8" s="1" t="s">
        <v>62</v>
      </c>
      <c r="E8" s="1" t="n">
        <f aca="false">COUNTIFS(Detail!$U$2:$U$105,$A8,Detail!$A$2:$A$105,$B8,Detail!$B$2:$B$105,$D8)</f>
        <v>52</v>
      </c>
      <c r="F8" s="8" t="n">
        <f aca="false">SUMIFS(Detail!$M$2:$M$105,Detail!$U$2:$U$105,$A8,Detail!$A$2:$A$105,$B8,Detail!$B$2:$B$105,$D8)</f>
        <v>291129.31615315</v>
      </c>
      <c r="G8" s="8" t="n">
        <f aca="false">SUMIFS(Detail!$N$2:$N$105,Detail!$U$2:$U$105,$A8,Detail!$A$2:$A$105,$B8,Detail!$B$2:$B$105,$D8)</f>
        <v>42409</v>
      </c>
      <c r="H8" s="9" t="n">
        <f aca="false">F8-G8</f>
        <v>248720.31615315</v>
      </c>
      <c r="I8" s="8" t="n">
        <f aca="false">SUMIFS(Detail!$I$2:$I$105,Detail!$U$2:$U$105,$A8,Detail!$A$2:$A$105,$B8,Detail!$B$2:$B$105,$D8,Detail!$E$2:$E$105,1)</f>
        <v>680251</v>
      </c>
      <c r="J8" s="3" t="n">
        <f aca="false">IF(I8&gt;0,ABS(H8)/I8,"")</f>
        <v>0.365630210250554</v>
      </c>
      <c r="K8" s="8" t="n">
        <f aca="false">SUMIFS(Detail!$V$2:$V$105,Detail!$U$2:$U$105,$A8,Detail!$A$2:$A$105,$B8,Detail!$B$2:$B$105,$D8)</f>
        <v>248720.31615315</v>
      </c>
      <c r="L8" s="8" t="n">
        <f aca="false">K8/E8</f>
        <v>4783.08300294519</v>
      </c>
      <c r="M8" s="8" t="n">
        <f aca="false">SUMIFS(Detail!$W$2:$W$105,Detail!$U$2:$U$105,$A8,Detail!$A$2:$A$105,$B8,Detail!$B$2:$B$105,$D8)</f>
        <v>5941253235.65556</v>
      </c>
      <c r="N8" s="8" t="n">
        <f aca="false">SQRT(M8/E8)</f>
        <v>10689.0069658717</v>
      </c>
      <c r="O8" s="8" t="n">
        <f aca="false">SUMIFS(Detail!$X$2:$X$105,Detail!$U$2:$U$105,$A8,Detail!$A$2:$A$105,$B8,Detail!$B$2:$B$105,$D8)</f>
        <v>234113.396653879</v>
      </c>
      <c r="P8" s="8" t="n">
        <f aca="false">SUMIFS(Detail!$Y$2:$Y$105,Detail!$U$2:$U$105,$A8,Detail!$A$2:$A$105,$B8,Detail!$B$2:$B$105,$D8)</f>
        <v>1898179260.78712</v>
      </c>
      <c r="Q8" s="3" t="n">
        <f aca="false">IF(I8&gt;0,K8/I8,"")</f>
        <v>0.365630210250554</v>
      </c>
      <c r="R8" s="3" t="n">
        <f aca="false">SUMIFS(Detail!$Z$2:$Z$105,Detail!$U$2:$U$105,$A8,Detail!$A$2:$A$105,$B8,Detail!$B$2:$B$105,$D8,Detail!$J$2:$J$105,"&gt;0")/SUMIFS(Detail!$J$2:$J$105,Detail!$U$2:$U$105,$A8,Detail!$A$2:$A$105,$B8,Detail!$B$2:$B$105,$D8,Detail!$J$2:$J$105,"&gt;0")</f>
        <v>0.142596579927873</v>
      </c>
      <c r="S8" s="3" t="n">
        <f aca="false">SQRT(SUMIFS(Detail!$AA$2:$AA$105,Detail!$U$2:$U$105,$A8,Detail!$A$2:$A$105,$B8,Detail!$B$2:$B$105,$D8,Detail!$J$2:$J$105,"&gt;0")/COUNTIFS(Detail!$U$2:$U$105,$A8,Detail!$A$2:$A$105,$B8,Detail!$B$2:$B$105,$D8,Detail!$J$2:$J$105,"&gt;0"))</f>
        <v>0.110425563442525</v>
      </c>
      <c r="T8" s="1" t="n">
        <f aca="false">SUMPRODUCT(($A$6:$A$11=$A8)*($C$6:$C$11=$C8)*($J$6:$J$11&lt;J8))+1</f>
        <v>2</v>
      </c>
      <c r="U8" s="1" t="n">
        <f aca="false">SUMPRODUCT(($A$6:$A$11=$A8)*($C$6:$C$11=$C8)*($K$6:$K$11&lt;K8))+1</f>
        <v>2</v>
      </c>
      <c r="V8" s="1" t="n">
        <f aca="false">SUMPRODUCT(($A$6:$A$11=$A8)*($C$6:$C$11=$C8)*($N$6:$N$11&lt;N8))+1</f>
        <v>2</v>
      </c>
      <c r="W8" s="1" t="n">
        <f aca="false">SUMPRODUCT(($A$6:$A$11=$A8)*($C$6:$C$11=$C8)*($O$6:$O$11&lt;O8))+1</f>
        <v>2</v>
      </c>
      <c r="X8" s="1" t="n">
        <f aca="false">SUMPRODUCT(($A$6:$A$11=$A8)*($C$6:$C$11=$C8)*($P$6:$P$11&lt;P8))+1</f>
        <v>2</v>
      </c>
      <c r="Y8" s="1" t="n">
        <f aca="false">SUMPRODUCT(($A$6:$A$11=$A8)*($C$6:$C$11=$C8)*($R$6:$R$11&lt;R8))+1</f>
        <v>2</v>
      </c>
    </row>
    <row r="9" customFormat="false" ht="15" hidden="false" customHeight="false" outlineLevel="0" collapsed="false">
      <c r="A9" s="1" t="s">
        <v>20</v>
      </c>
      <c r="B9" s="1" t="s">
        <v>63</v>
      </c>
      <c r="C9" s="1" t="n">
        <v>2023</v>
      </c>
      <c r="D9" s="1" t="s">
        <v>59</v>
      </c>
      <c r="E9" s="1" t="n">
        <f aca="false">COUNTIFS(Detail!$U$2:$U$105,$A9,Detail!$A$2:$A$105,$B9,Detail!$B$2:$B$105,$D9)</f>
        <v>34</v>
      </c>
      <c r="F9" s="8" t="n">
        <f aca="false">SUMIFS(Detail!$M$2:$M$105,Detail!$U$2:$U$105,$A9,Detail!$A$2:$A$105,$B9,Detail!$B$2:$B$105,$D9)</f>
        <v>173576.905254466</v>
      </c>
      <c r="G9" s="8" t="n">
        <f aca="false">SUMIFS(Detail!$N$2:$N$105,Detail!$U$2:$U$105,$A9,Detail!$A$2:$A$105,$B9,Detail!$B$2:$B$105,$D9)</f>
        <v>42408</v>
      </c>
      <c r="H9" s="9" t="n">
        <f aca="false">F9-G9</f>
        <v>131168.905254466</v>
      </c>
      <c r="I9" s="8" t="n">
        <f aca="false">SUMIFS(Detail!$I$2:$I$105,Detail!$U$2:$U$105,$A9,Detail!$A$2:$A$105,$B9,Detail!$B$2:$B$105,$D9,Detail!$E$2:$E$105,1)</f>
        <v>367618</v>
      </c>
      <c r="J9" s="3" t="n">
        <f aca="false">IF(I9&gt;0,ABS(H9)/I9,"")</f>
        <v>0.356807624366776</v>
      </c>
      <c r="K9" s="8" t="n">
        <f aca="false">SUMIFS(Detail!$V$2:$V$105,Detail!$U$2:$U$105,$A9,Detail!$A$2:$A$105,$B9,Detail!$B$2:$B$105,$D9)</f>
        <v>131168.905254466</v>
      </c>
      <c r="L9" s="8" t="n">
        <f aca="false">K9/E9</f>
        <v>3857.90897807252</v>
      </c>
      <c r="M9" s="8" t="n">
        <f aca="false">SUMIFS(Detail!$W$2:$W$105,Detail!$U$2:$U$105,$A9,Detail!$A$2:$A$105,$B9,Detail!$B$2:$B$105,$D9)</f>
        <v>2847892603.09505</v>
      </c>
      <c r="N9" s="8" t="n">
        <f aca="false">SQRT(M9/E9)</f>
        <v>9152.13347530807</v>
      </c>
      <c r="O9" s="8" t="n">
        <f aca="false">SUMIFS(Detail!$X$2:$X$105,Detail!$U$2:$U$105,$A9,Detail!$A$2:$A$105,$B9,Detail!$B$2:$B$105,$D9)</f>
        <v>123099.44939067</v>
      </c>
      <c r="P9" s="8" t="n">
        <f aca="false">SUMIFS(Detail!$Y$2:$Y$105,Detail!$U$2:$U$105,$A9,Detail!$A$2:$A$105,$B9,Detail!$B$2:$B$105,$D9)</f>
        <v>962355553.04214</v>
      </c>
      <c r="Q9" s="3" t="n">
        <f aca="false">IF(I9&gt;0,K9/I9,"")</f>
        <v>0.356807624366776</v>
      </c>
      <c r="R9" s="3" t="n">
        <f aca="false">SUMIFS(Detail!$Z$2:$Z$105,Detail!$U$2:$U$105,$A9,Detail!$A$2:$A$105,$B9,Detail!$B$2:$B$105,$D9,Detail!$J$2:$J$105,"&gt;0")/SUMIFS(Detail!$J$2:$J$105,Detail!$U$2:$U$105,$A9,Detail!$A$2:$A$105,$B9,Detail!$B$2:$B$105,$D9,Detail!$J$2:$J$105,"&gt;0")</f>
        <v>0.123834303066343</v>
      </c>
      <c r="S9" s="3" t="n">
        <f aca="false">SQRT(SUMIFS(Detail!$AA$2:$AA$105,Detail!$U$2:$U$105,$A9,Detail!$A$2:$A$105,$B9,Detail!$B$2:$B$105,$D9,Detail!$J$2:$J$105,"&gt;0")/COUNTIFS(Detail!$U$2:$U$105,$A9,Detail!$A$2:$A$105,$B9,Detail!$B$2:$B$105,$D9,Detail!$J$2:$J$105,"&gt;0"))</f>
        <v>0.103173771636961</v>
      </c>
      <c r="T9" s="1" t="n">
        <f aca="false">SUMPRODUCT(($A$6:$A$11=$A9)*($C$6:$C$11=$C9)*($J$6:$J$11&lt;J9))+1</f>
        <v>1</v>
      </c>
      <c r="U9" s="1" t="n">
        <f aca="false">SUMPRODUCT(($A$6:$A$11=$A9)*($C$6:$C$11=$C9)*($K$6:$K$11&lt;K9))+1</f>
        <v>1</v>
      </c>
      <c r="V9" s="1" t="n">
        <f aca="false">SUMPRODUCT(($A$6:$A$11=$A9)*($C$6:$C$11=$C9)*($N$6:$N$11&lt;N9))+1</f>
        <v>1</v>
      </c>
      <c r="W9" s="1" t="n">
        <f aca="false">SUMPRODUCT(($A$6:$A$11=$A9)*($C$6:$C$11=$C9)*($O$6:$O$11&lt;O9))+1</f>
        <v>1</v>
      </c>
      <c r="X9" s="1" t="n">
        <f aca="false">SUMPRODUCT(($A$6:$A$11=$A9)*($C$6:$C$11=$C9)*($P$6:$P$11&lt;P9))+1</f>
        <v>1</v>
      </c>
      <c r="Y9" s="1" t="n">
        <f aca="false">SUMPRODUCT(($A$6:$A$11=$A9)*($C$6:$C$11=$C9)*($R$6:$R$11&lt;R9))+1</f>
        <v>1</v>
      </c>
    </row>
    <row r="10" customFormat="false" ht="15" hidden="false" customHeight="false" outlineLevel="0" collapsed="false">
      <c r="A10" s="1" t="s">
        <v>20</v>
      </c>
      <c r="B10" s="1" t="s">
        <v>63</v>
      </c>
      <c r="C10" s="1" t="n">
        <v>2024</v>
      </c>
      <c r="D10" s="1" t="s">
        <v>60</v>
      </c>
      <c r="E10" s="1" t="n">
        <f aca="false">COUNTIFS(Detail!$U$2:$U$105,$A10,Detail!$A$2:$A$105,$B10,Detail!$B$2:$B$105,$D10)</f>
        <v>18</v>
      </c>
      <c r="F10" s="8" t="n">
        <f aca="false">SUMIFS(Detail!$M$2:$M$105,Detail!$U$2:$U$105,$A10,Detail!$A$2:$A$105,$B10,Detail!$B$2:$B$105,$D10)</f>
        <v>55977.9307227414</v>
      </c>
      <c r="G10" s="8" t="n">
        <f aca="false">SUMIFS(Detail!$N$2:$N$105,Detail!$U$2:$U$105,$A10,Detail!$A$2:$A$105,$B10,Detail!$B$2:$B$105,$D10)</f>
        <v>1</v>
      </c>
      <c r="H10" s="9" t="n">
        <f aca="false">F10-G10</f>
        <v>55976.9307227414</v>
      </c>
      <c r="I10" s="8" t="n">
        <f aca="false">SUMIFS(Detail!$I$2:$I$105,Detail!$U$2:$U$105,$A10,Detail!$A$2:$A$105,$B10,Detail!$B$2:$B$105,$D10,Detail!$E$2:$E$105,1)</f>
        <v>312633</v>
      </c>
      <c r="J10" s="3" t="n">
        <f aca="false">IF(I10&gt;0,ABS(H10)/I10,"")</f>
        <v>0.179049974643564</v>
      </c>
      <c r="K10" s="8" t="n">
        <f aca="false">SUMIFS(Detail!$V$2:$V$105,Detail!$U$2:$U$105,$A10,Detail!$A$2:$A$105,$B10,Detail!$B$2:$B$105,$D10)</f>
        <v>55976.9307227414</v>
      </c>
      <c r="L10" s="8" t="n">
        <f aca="false">K10/E10</f>
        <v>3109.82948459674</v>
      </c>
      <c r="M10" s="8" t="n">
        <f aca="false">SUMIFS(Detail!$W$2:$W$105,Detail!$U$2:$U$105,$A10,Detail!$A$2:$A$105,$B10,Detail!$B$2:$B$105,$D10)</f>
        <v>1121031253.96825</v>
      </c>
      <c r="N10" s="8" t="n">
        <f aca="false">SQRT(M10/E10)</f>
        <v>7891.73707806761</v>
      </c>
      <c r="O10" s="8" t="n">
        <f aca="false">SUMIFS(Detail!$X$2:$X$105,Detail!$U$2:$U$105,$A10,Detail!$A$2:$A$105,$B10,Detail!$B$2:$B$105,$D10)</f>
        <v>55975.9324910128</v>
      </c>
      <c r="P10" s="8" t="n">
        <f aca="false">SUMIFS(Detail!$Y$2:$Y$105,Detail!$U$2:$U$105,$A10,Detail!$A$2:$A$105,$B10,Detail!$B$2:$B$105,$D10)</f>
        <v>403221092.535225</v>
      </c>
      <c r="Q10" s="3" t="n">
        <f aca="false">IF(I10&gt;0,K10/I10,"")</f>
        <v>0.179049974643564</v>
      </c>
      <c r="R10" s="3" t="n">
        <f aca="false">SUMIFS(Detail!$Z$2:$Z$105,Detail!$U$2:$U$105,$A10,Detail!$A$2:$A$105,$B10,Detail!$B$2:$B$105,$D10,Detail!$J$2:$J$105,"&gt;0")/SUMIFS(Detail!$J$2:$J$105,Detail!$U$2:$U$105,$A10,Detail!$A$2:$A$105,$B10,Detail!$B$2:$B$105,$D10,Detail!$J$2:$J$105,"&gt;0")</f>
        <v>0.0720194876567441</v>
      </c>
      <c r="S10" s="3" t="n">
        <f aca="false">SQRT(SUMIFS(Detail!$AA$2:$AA$105,Detail!$U$2:$U$105,$A10,Detail!$A$2:$A$105,$B10,Detail!$B$2:$B$105,$D10,Detail!$J$2:$J$105,"&gt;0")/COUNTIFS(Detail!$U$2:$U$105,$A10,Detail!$A$2:$A$105,$B10,Detail!$B$2:$B$105,$D10,Detail!$J$2:$J$105,"&gt;0"))</f>
        <v>0.0598831507563874</v>
      </c>
      <c r="T10" s="1" t="n">
        <f aca="false">SUMPRODUCT(($A$6:$A$11=$A10)*($C$6:$C$11=$C10)*($J$6:$J$11&lt;J10))+1</f>
        <v>1</v>
      </c>
      <c r="U10" s="1" t="n">
        <f aca="false">SUMPRODUCT(($A$6:$A$11=$A10)*($C$6:$C$11=$C10)*($K$6:$K$11&lt;K10))+1</f>
        <v>1</v>
      </c>
      <c r="V10" s="1" t="n">
        <f aca="false">SUMPRODUCT(($A$6:$A$11=$A10)*($C$6:$C$11=$C10)*($N$6:$N$11&lt;N10))+1</f>
        <v>1</v>
      </c>
      <c r="W10" s="1" t="n">
        <f aca="false">SUMPRODUCT(($A$6:$A$11=$A10)*($C$6:$C$11=$C10)*($O$6:$O$11&lt;O10))+1</f>
        <v>1</v>
      </c>
      <c r="X10" s="1" t="n">
        <f aca="false">SUMPRODUCT(($A$6:$A$11=$A10)*($C$6:$C$11=$C10)*($P$6:$P$11&lt;P10))+1</f>
        <v>1</v>
      </c>
      <c r="Y10" s="1" t="n">
        <f aca="false">SUMPRODUCT(($A$6:$A$11=$A10)*($C$6:$C$11=$C10)*($R$6:$R$11&lt;R10))+1</f>
        <v>1</v>
      </c>
    </row>
    <row r="11" customFormat="false" ht="15" hidden="false" customHeight="false" outlineLevel="0" collapsed="false">
      <c r="A11" s="1" t="s">
        <v>20</v>
      </c>
      <c r="B11" s="1" t="s">
        <v>63</v>
      </c>
      <c r="C11" s="1" t="s">
        <v>61</v>
      </c>
      <c r="D11" s="1" t="s">
        <v>62</v>
      </c>
      <c r="E11" s="1" t="n">
        <f aca="false">COUNTIFS(Detail!$U$2:$U$105,$A11,Detail!$A$2:$A$105,$B11,Detail!$B$2:$B$105,$D11)</f>
        <v>52</v>
      </c>
      <c r="F11" s="8" t="n">
        <f aca="false">SUMIFS(Detail!$M$2:$M$105,Detail!$U$2:$U$105,$A11,Detail!$A$2:$A$105,$B11,Detail!$B$2:$B$105,$D11)</f>
        <v>229554.835977207</v>
      </c>
      <c r="G11" s="8" t="n">
        <f aca="false">SUMIFS(Detail!$N$2:$N$105,Detail!$U$2:$U$105,$A11,Detail!$A$2:$A$105,$B11,Detail!$B$2:$B$105,$D11)</f>
        <v>42409</v>
      </c>
      <c r="H11" s="9" t="n">
        <f aca="false">F11-G11</f>
        <v>187145.835977207</v>
      </c>
      <c r="I11" s="8" t="n">
        <f aca="false">SUMIFS(Detail!$I$2:$I$105,Detail!$U$2:$U$105,$A11,Detail!$A$2:$A$105,$B11,Detail!$B$2:$B$105,$D11,Detail!$E$2:$E$105,1)</f>
        <v>680251</v>
      </c>
      <c r="J11" s="3" t="n">
        <f aca="false">IF(I11&gt;0,ABS(H11)/I11,"")</f>
        <v>0.275112915640267</v>
      </c>
      <c r="K11" s="8" t="n">
        <f aca="false">SUMIFS(Detail!$V$2:$V$105,Detail!$U$2:$U$105,$A11,Detail!$A$2:$A$105,$B11,Detail!$B$2:$B$105,$D11)</f>
        <v>187145.835977207</v>
      </c>
      <c r="L11" s="8" t="n">
        <f aca="false">K11/E11</f>
        <v>3598.95838417706</v>
      </c>
      <c r="M11" s="8" t="n">
        <f aca="false">SUMIFS(Detail!$W$2:$W$105,Detail!$U$2:$U$105,$A11,Detail!$A$2:$A$105,$B11,Detail!$B$2:$B$105,$D11)</f>
        <v>3968923857.0633</v>
      </c>
      <c r="N11" s="8" t="n">
        <f aca="false">SQRT(M11/E11)</f>
        <v>8736.44428756224</v>
      </c>
      <c r="O11" s="8" t="n">
        <f aca="false">SUMIFS(Detail!$X$2:$X$105,Detail!$U$2:$U$105,$A11,Detail!$A$2:$A$105,$B11,Detail!$B$2:$B$105,$D11)</f>
        <v>179075.381881682</v>
      </c>
      <c r="P11" s="8" t="n">
        <f aca="false">SUMIFS(Detail!$Y$2:$Y$105,Detail!$U$2:$U$105,$A11,Detail!$A$2:$A$105,$B11,Detail!$B$2:$B$105,$D11)</f>
        <v>1365576645.57736</v>
      </c>
      <c r="Q11" s="3" t="n">
        <f aca="false">IF(I11&gt;0,K11/I11,"")</f>
        <v>0.275112915640267</v>
      </c>
      <c r="R11" s="3" t="n">
        <f aca="false">SUMIFS(Detail!$Z$2:$Z$105,Detail!$U$2:$U$105,$A11,Detail!$A$2:$A$105,$B11,Detail!$B$2:$B$105,$D11,Detail!$J$2:$J$105,"&gt;0")/SUMIFS(Detail!$J$2:$J$105,Detail!$U$2:$U$105,$A11,Detail!$A$2:$A$105,$B11,Detail!$B$2:$B$105,$D11,Detail!$J$2:$J$105,"&gt;0")</f>
        <v>0.106660976797715</v>
      </c>
      <c r="S11" s="3" t="n">
        <f aca="false">SQRT(SUMIFS(Detail!$AA$2:$AA$105,Detail!$U$2:$U$105,$A11,Detail!$A$2:$A$105,$B11,Detail!$B$2:$B$105,$D11,Detail!$J$2:$J$105,"&gt;0")/COUNTIFS(Detail!$U$2:$U$105,$A11,Detail!$A$2:$A$105,$B11,Detail!$B$2:$B$105,$D11,Detail!$J$2:$J$105,"&gt;0"))</f>
        <v>0.0905614936245274</v>
      </c>
      <c r="T11" s="1" t="n">
        <f aca="false">SUMPRODUCT(($A$6:$A$11=$A11)*($C$6:$C$11=$C11)*($J$6:$J$11&lt;J11))+1</f>
        <v>1</v>
      </c>
      <c r="U11" s="1" t="n">
        <f aca="false">SUMPRODUCT(($A$6:$A$11=$A11)*($C$6:$C$11=$C11)*($K$6:$K$11&lt;K11))+1</f>
        <v>1</v>
      </c>
      <c r="V11" s="1" t="n">
        <f aca="false">SUMPRODUCT(($A$6:$A$11=$A11)*($C$6:$C$11=$C11)*($N$6:$N$11&lt;N11))+1</f>
        <v>1</v>
      </c>
      <c r="W11" s="1" t="n">
        <f aca="false">SUMPRODUCT(($A$6:$A$11=$A11)*($C$6:$C$11=$C11)*($O$6:$O$11&lt;O11))+1</f>
        <v>1</v>
      </c>
      <c r="X11" s="1" t="n">
        <f aca="false">SUMPRODUCT(($A$6:$A$11=$A11)*($C$6:$C$11=$C11)*($P$6:$P$11&lt;P11))+1</f>
        <v>1</v>
      </c>
      <c r="Y11" s="1" t="n">
        <f aca="false">SUMPRODUCT(($A$6:$A$11=$A11)*($C$6:$C$11=$C11)*($R$6:$R$11&lt;R11))+1</f>
        <v>1</v>
      </c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5" hidden="false" customHeight="false" outlineLevel="0" collapsed="false">
      <c r="A14" s="2" t="s">
        <v>64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5" hidden="false" customHeight="false" outlineLevel="0" collapsed="false">
      <c r="A15" s="2" t="s">
        <v>65</v>
      </c>
      <c r="B15" s="2" t="s">
        <v>66</v>
      </c>
      <c r="C15" s="2" t="s">
        <v>59</v>
      </c>
      <c r="D15" s="2" t="s">
        <v>60</v>
      </c>
      <c r="E15" s="2" t="s">
        <v>61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5" hidden="false" customHeight="false" outlineLevel="0" collapsed="false">
      <c r="A16" s="1" t="s">
        <v>42</v>
      </c>
      <c r="B16" s="1" t="s">
        <v>67</v>
      </c>
      <c r="C16" s="1" t="str">
        <f aca="false">IFERROR(INDEX($B$6:$B$11,MATCH(1,INDEX(($A$6:$A$11="Example A - method 1 data")*($C$6:$C$11=2023)*($T$6:$T$11=1),0),0)),"")</f>
        <v>M2</v>
      </c>
      <c r="D16" s="1" t="str">
        <f aca="false">IFERROR(INDEX($B$6:$B$11,MATCH(1,INDEX(($A$6:$A$11="Example A - method 1 data")*($C$6:$C$11=2024)*($T$6:$T$11=1),0),0)),"")</f>
        <v>M2</v>
      </c>
      <c r="E16" s="1" t="str">
        <f aca="false">IFERROR(INDEX($B$6:$B$11,MATCH(1,INDEX(($A$6:$A$11="Example A - method 1 data")*($C$6:$C$11="all")*($T$6:$T$11=1),0),0)),"")</f>
        <v>M2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5" hidden="false" customHeight="false" outlineLevel="0" collapsed="false">
      <c r="A17" s="1" t="s">
        <v>68</v>
      </c>
      <c r="B17" s="1" t="s">
        <v>69</v>
      </c>
      <c r="C17" s="1" t="str">
        <f aca="false">IFERROR(INDEX($B$6:$B$11,MATCH(1,INDEX(($A$6:$A$11="Example A - method 1 data")*($C$6:$C$11=2023)*($U$6:$U$11=1),0),0)),"")</f>
        <v>M2</v>
      </c>
      <c r="D17" s="1" t="str">
        <f aca="false">IFERROR(INDEX($B$6:$B$11,MATCH(1,INDEX(($A$6:$A$11="Example A - method 1 data")*($C$6:$C$11=2024)*($U$6:$U$11=1),0),0)),"")</f>
        <v>M2</v>
      </c>
      <c r="E17" s="1" t="str">
        <f aca="false">IFERROR(INDEX($B$6:$B$11,MATCH(1,INDEX(($A$6:$A$11="Example A - method 1 data")*($C$6:$C$11="all")*($U$6:$U$11=1),0),0)),"")</f>
        <v>M2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5" hidden="false" customHeight="false" outlineLevel="0" collapsed="false">
      <c r="A18" s="1" t="s">
        <v>46</v>
      </c>
      <c r="B18" s="1" t="s">
        <v>70</v>
      </c>
      <c r="C18" s="1" t="str">
        <f aca="false">IFERROR(INDEX($B$6:$B$11,MATCH(1,INDEX(($A$6:$A$11="Example A - method 1 data")*($C$6:$C$11=2023)*($V$6:$V$11=1),0),0)),"")</f>
        <v>M2</v>
      </c>
      <c r="D18" s="1" t="str">
        <f aca="false">IFERROR(INDEX($B$6:$B$11,MATCH(1,INDEX(($A$6:$A$11="Example A - method 1 data")*($C$6:$C$11=2024)*($V$6:$V$11=1),0),0)),"")</f>
        <v>M2</v>
      </c>
      <c r="E18" s="1" t="str">
        <f aca="false">IFERROR(INDEX($B$6:$B$11,MATCH(1,INDEX(($A$6:$A$11="Example A - method 1 data")*($C$6:$C$11="all")*($V$6:$V$11=1),0),0)),"")</f>
        <v>M2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5" hidden="false" customHeight="false" outlineLevel="0" collapsed="false">
      <c r="A19" s="1" t="s">
        <v>47</v>
      </c>
      <c r="B19" s="1" t="s">
        <v>71</v>
      </c>
      <c r="C19" s="1" t="str">
        <f aca="false">IFERROR(INDEX($B$6:$B$11,MATCH(1,INDEX(($A$6:$A$11="Example A - method 1 data")*($C$6:$C$11=2023)*($W$6:$W$11=1),0),0)),"")</f>
        <v>M2</v>
      </c>
      <c r="D19" s="1" t="str">
        <f aca="false">IFERROR(INDEX($B$6:$B$11,MATCH(1,INDEX(($A$6:$A$11="Example A - method 1 data")*($C$6:$C$11=2024)*($W$6:$W$11=1),0),0)),"")</f>
        <v>M2</v>
      </c>
      <c r="E19" s="1" t="str">
        <f aca="false">IFERROR(INDEX($B$6:$B$11,MATCH(1,INDEX(($A$6:$A$11="Example A - method 1 data")*($C$6:$C$11="all")*($W$6:$W$11=1),0),0)),"")</f>
        <v>M2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5" hidden="false" customHeight="false" outlineLevel="0" collapsed="false">
      <c r="A20" s="1" t="s">
        <v>72</v>
      </c>
      <c r="B20" s="1" t="s">
        <v>73</v>
      </c>
      <c r="C20" s="1" t="str">
        <f aca="false">IFERROR(INDEX($B$6:$B$11,MATCH(1,INDEX(($A$6:$A$11="Example A - method 1 data")*($C$6:$C$11=2023)*($X$6:$X$11=1),0),0)),"")</f>
        <v>M2</v>
      </c>
      <c r="D20" s="1" t="str">
        <f aca="false">IFERROR(INDEX($B$6:$B$11,MATCH(1,INDEX(($A$6:$A$11="Example A - method 1 data")*($C$6:$C$11=2024)*($X$6:$X$11=1),0),0)),"")</f>
        <v>M2</v>
      </c>
      <c r="E20" s="1" t="str">
        <f aca="false">IFERROR(INDEX($B$6:$B$11,MATCH(1,INDEX(($A$6:$A$11="Example A - method 1 data")*($C$6:$C$11="all")*($X$6:$X$11=1),0),0)),"")</f>
        <v>M2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5" hidden="false" customHeight="false" outlineLevel="0" collapsed="false">
      <c r="A21" s="1" t="s">
        <v>50</v>
      </c>
      <c r="B21" s="1" t="s">
        <v>74</v>
      </c>
      <c r="C21" s="1" t="str">
        <f aca="false">IFERROR(INDEX($B$6:$B$11,MATCH(1,INDEX(($A$6:$A$11="Example A - method 1 data")*($C$6:$C$11=2023)*($Y$6:$Y$11=1),0),0)),"")</f>
        <v>M2</v>
      </c>
      <c r="D21" s="1" t="str">
        <f aca="false">IFERROR(INDEX($B$6:$B$11,MATCH(1,INDEX(($A$6:$A$11="Example A - method 1 data")*($C$6:$C$11=2024)*($Y$6:$Y$11=1),0),0)),"")</f>
        <v>M2</v>
      </c>
      <c r="E21" s="1" t="str">
        <f aca="false">IFERROR(INDEX($B$6:$B$11,MATCH(1,INDEX(($A$6:$A$11="Example A - method 1 data")*($C$6:$C$11="all")*($Y$6:$Y$11=1),0),0)),"")</f>
        <v>M2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27" min="5" style="0" width="13"/>
  </cols>
  <sheetData>
    <row r="1" customFormat="false" ht="15" hidden="false" customHeight="false" outlineLevel="0" collapsed="false">
      <c r="A1" s="2" t="s">
        <v>19</v>
      </c>
      <c r="B1" s="2" t="s">
        <v>18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17</v>
      </c>
      <c r="V1" s="2" t="s">
        <v>93</v>
      </c>
      <c r="W1" s="2" t="s">
        <v>94</v>
      </c>
      <c r="X1" s="2" t="s">
        <v>95</v>
      </c>
      <c r="Y1" s="2" t="s">
        <v>48</v>
      </c>
      <c r="Z1" s="2" t="s">
        <v>96</v>
      </c>
      <c r="AA1" s="2" t="s">
        <v>97</v>
      </c>
    </row>
    <row r="2" customFormat="false" ht="15" hidden="false" customHeight="false" outlineLevel="0" collapsed="false">
      <c r="A2" s="11" t="s">
        <v>58</v>
      </c>
      <c r="B2" s="11" t="n">
        <v>2023</v>
      </c>
      <c r="C2" s="11" t="n">
        <v>2007</v>
      </c>
      <c r="D2" s="11" t="n">
        <v>2024</v>
      </c>
      <c r="E2" s="1" t="n">
        <f aca="false">D2-B2</f>
        <v>1</v>
      </c>
      <c r="F2" s="1" t="n">
        <f aca="false">B2-C2+1</f>
        <v>17</v>
      </c>
      <c r="G2" s="1" t="n">
        <f aca="false">D2-C2+1</f>
        <v>18</v>
      </c>
      <c r="H2" s="8" t="n">
        <f aca="false">INDEX(Data!$B$3:$T$21,MATCH(C2,Data!$A$3:$A$21,0),MATCH(B2,Data!$B$2:$T$2,0))</f>
        <v>1382</v>
      </c>
      <c r="I2" s="8" t="n">
        <f aca="false">INDEX(Data!$B$25:$T$43,MATCH(C2,Data!$A$3:$A$21,0),MATCH(B2,Data!$B$2:$T$2,0))</f>
        <v>0</v>
      </c>
      <c r="J2" s="8" t="n">
        <f aca="false">H2+I2</f>
        <v>1382</v>
      </c>
      <c r="K2" s="3" t="n">
        <f aca="false">INDEX('pattern input'!$B$2:$AO$5,MATCH(A2&amp;"_"&amp;B2,'pattern input'!$A$2:$A$5,0),F2)</f>
        <v>0.993961810727886</v>
      </c>
      <c r="L2" s="3" t="n">
        <f aca="false">INDEX('pattern input'!$B$2:$AO$5,MATCH(A2&amp;"_"&amp;B2,'pattern input'!$A$2:$A$5,0),G2)</f>
        <v>1</v>
      </c>
      <c r="M2" s="8" t="n">
        <f aca="false">IF(K2&gt;=1,0,I2*(L2-INDEX('pattern input'!$B$2:$AO$5,MATCH(A2&amp;"_"&amp;B2,'pattern input'!$A$2:$A$5,0),G2-1))/(1-K2))</f>
        <v>0</v>
      </c>
      <c r="N2" s="8" t="n">
        <f aca="false">INDEX(Data!$B$3:$T$21,MATCH(C2,Data!$A$3:$A$21,0),MATCH(D2,Data!$B$2:$T$2,0))-INDEX(Data!$B$3:$T$21,MATCH(C2,Data!$A$3:$A$21,0),MATCH(D2-1,Data!$B$2:$T$2,0))</f>
        <v>0</v>
      </c>
      <c r="O2" s="9" t="n">
        <f aca="false">M2-N2</f>
        <v>0</v>
      </c>
      <c r="P2" s="8" t="n">
        <f aca="false">IF(K2&gt;=1,H2+I2,H2+I2*(L2-K2)/(1-K2))</f>
        <v>1382</v>
      </c>
      <c r="Q2" s="8" t="n">
        <f aca="false">INDEX(Data!$B$3:$T$21,MATCH(C2,Data!$A$3:$A$21,0),MATCH(D2,Data!$B$2:$T$2,0))</f>
        <v>1382</v>
      </c>
      <c r="R2" s="3" t="n">
        <f aca="false">IF(J2&gt;0,P2/J2,"")</f>
        <v>1</v>
      </c>
      <c r="S2" s="3" t="n">
        <f aca="false">IF(J2&gt;0,Q2/J2,"")</f>
        <v>1</v>
      </c>
      <c r="T2" s="6" t="n">
        <f aca="false">IF(J2&gt;0,R2-S2,"")</f>
        <v>0</v>
      </c>
      <c r="U2" s="1" t="s">
        <v>20</v>
      </c>
      <c r="V2" s="8" t="n">
        <f aca="false">ABS(O2)</f>
        <v>0</v>
      </c>
      <c r="W2" s="8" t="n">
        <f aca="false">O2^2</f>
        <v>0</v>
      </c>
      <c r="X2" s="12" t="n">
        <f aca="false">IF(M2&gt;0,O2^2/M2,0)</f>
        <v>0</v>
      </c>
      <c r="Y2" s="8" t="n">
        <f aca="false">IF(V2&lt;=Metrics!$C$3,0.5*O2^2,Metrics!$C$3*(V2-0.5*Metrics!$C$3))</f>
        <v>0</v>
      </c>
      <c r="Z2" s="8" t="n">
        <f aca="false">ABS(P2-Q2)</f>
        <v>0</v>
      </c>
      <c r="AA2" s="13" t="n">
        <f aca="false">IF(J2&gt;0,T2^2,0)</f>
        <v>0</v>
      </c>
    </row>
    <row r="3" customFormat="false" ht="15" hidden="false" customHeight="false" outlineLevel="0" collapsed="false">
      <c r="A3" s="11" t="s">
        <v>58</v>
      </c>
      <c r="B3" s="11" t="n">
        <v>2023</v>
      </c>
      <c r="C3" s="11" t="n">
        <v>2007</v>
      </c>
      <c r="D3" s="11" t="n">
        <v>2025</v>
      </c>
      <c r="E3" s="1" t="n">
        <f aca="false">D3-B3</f>
        <v>2</v>
      </c>
      <c r="F3" s="1" t="n">
        <f aca="false">B3-C3+1</f>
        <v>17</v>
      </c>
      <c r="G3" s="1" t="n">
        <f aca="false">D3-C3+1</f>
        <v>19</v>
      </c>
      <c r="H3" s="8" t="n">
        <f aca="false">INDEX(Data!$B$3:$T$21,MATCH(C3,Data!$A$3:$A$21,0),MATCH(B3,Data!$B$2:$T$2,0))</f>
        <v>1382</v>
      </c>
      <c r="I3" s="8" t="n">
        <f aca="false">INDEX(Data!$B$25:$T$43,MATCH(C3,Data!$A$3:$A$21,0),MATCH(B3,Data!$B$2:$T$2,0))</f>
        <v>0</v>
      </c>
      <c r="J3" s="8" t="n">
        <f aca="false">H3+I3</f>
        <v>1382</v>
      </c>
      <c r="K3" s="3" t="n">
        <f aca="false">INDEX('pattern input'!$B$2:$AO$5,MATCH(A3&amp;"_"&amp;B3,'pattern input'!$A$2:$A$5,0),F3)</f>
        <v>0.993961810727886</v>
      </c>
      <c r="L3" s="3" t="n">
        <f aca="false">INDEX('pattern input'!$B$2:$AO$5,MATCH(A3&amp;"_"&amp;B3,'pattern input'!$A$2:$A$5,0),G3)</f>
        <v>1</v>
      </c>
      <c r="M3" s="8" t="n">
        <f aca="false">IF(K3&gt;=1,0,I3*(L3-INDEX('pattern input'!$B$2:$AO$5,MATCH(A3&amp;"_"&amp;B3,'pattern input'!$A$2:$A$5,0),G3-1))/(1-K3))</f>
        <v>0</v>
      </c>
      <c r="N3" s="8" t="n">
        <f aca="false">INDEX(Data!$B$3:$T$21,MATCH(C3,Data!$A$3:$A$21,0),MATCH(D3,Data!$B$2:$T$2,0))-INDEX(Data!$B$3:$T$21,MATCH(C3,Data!$A$3:$A$21,0),MATCH(D3-1,Data!$B$2:$T$2,0))</f>
        <v>0</v>
      </c>
      <c r="O3" s="9" t="n">
        <f aca="false">M3-N3</f>
        <v>0</v>
      </c>
      <c r="P3" s="8" t="n">
        <f aca="false">IF(K3&gt;=1,H3+I3,H3+I3*(L3-K3)/(1-K3))</f>
        <v>1382</v>
      </c>
      <c r="Q3" s="8" t="n">
        <f aca="false">INDEX(Data!$B$3:$T$21,MATCH(C3,Data!$A$3:$A$21,0),MATCH(D3,Data!$B$2:$T$2,0))</f>
        <v>1382</v>
      </c>
      <c r="R3" s="3" t="n">
        <f aca="false">IF(J3&gt;0,P3/J3,"")</f>
        <v>1</v>
      </c>
      <c r="S3" s="3" t="n">
        <f aca="false">IF(J3&gt;0,Q3/J3,"")</f>
        <v>1</v>
      </c>
      <c r="T3" s="6" t="n">
        <f aca="false">IF(J3&gt;0,R3-S3,"")</f>
        <v>0</v>
      </c>
      <c r="U3" s="1" t="s">
        <v>20</v>
      </c>
      <c r="V3" s="8" t="n">
        <f aca="false">ABS(O3)</f>
        <v>0</v>
      </c>
      <c r="W3" s="8" t="n">
        <f aca="false">O3^2</f>
        <v>0</v>
      </c>
      <c r="X3" s="12" t="n">
        <f aca="false">IF(M3&gt;0,O3^2/M3,0)</f>
        <v>0</v>
      </c>
      <c r="Y3" s="8" t="n">
        <f aca="false">IF(V3&lt;=Metrics!$C$3,0.5*O3^2,Metrics!$C$3*(V3-0.5*Metrics!$C$3))</f>
        <v>0</v>
      </c>
      <c r="Z3" s="8" t="n">
        <f aca="false">ABS(P3-Q3)</f>
        <v>0</v>
      </c>
      <c r="AA3" s="13" t="n">
        <f aca="false">IF(J3&gt;0,T3^2,0)</f>
        <v>0</v>
      </c>
    </row>
    <row r="4" customFormat="false" ht="15" hidden="false" customHeight="false" outlineLevel="0" collapsed="false">
      <c r="A4" s="11" t="s">
        <v>58</v>
      </c>
      <c r="B4" s="11" t="n">
        <v>2023</v>
      </c>
      <c r="C4" s="11" t="n">
        <v>2008</v>
      </c>
      <c r="D4" s="11" t="n">
        <v>2024</v>
      </c>
      <c r="E4" s="1" t="n">
        <f aca="false">D4-B4</f>
        <v>1</v>
      </c>
      <c r="F4" s="1" t="n">
        <f aca="false">B4-C4+1</f>
        <v>16</v>
      </c>
      <c r="G4" s="1" t="n">
        <f aca="false">D4-C4+1</f>
        <v>17</v>
      </c>
      <c r="H4" s="8" t="n">
        <f aca="false">INDEX(Data!$B$3:$T$21,MATCH(C4,Data!$A$3:$A$21,0),MATCH(B4,Data!$B$2:$T$2,0))</f>
        <v>9472</v>
      </c>
      <c r="I4" s="8" t="n">
        <f aca="false">INDEX(Data!$B$25:$T$43,MATCH(C4,Data!$A$3:$A$21,0),MATCH(B4,Data!$B$2:$T$2,0))</f>
        <v>3</v>
      </c>
      <c r="J4" s="8" t="n">
        <f aca="false">H4+I4</f>
        <v>9475</v>
      </c>
      <c r="K4" s="3" t="n">
        <f aca="false">INDEX('pattern input'!$B$2:$AO$5,MATCH(A4&amp;"_"&amp;B4,'pattern input'!$A$2:$A$5,0),F4)</f>
        <v>0.987557452795508</v>
      </c>
      <c r="L4" s="3" t="n">
        <f aca="false">INDEX('pattern input'!$B$2:$AO$5,MATCH(A4&amp;"_"&amp;B4,'pattern input'!$A$2:$A$5,0),G4)</f>
        <v>0.993961810727886</v>
      </c>
      <c r="M4" s="8" t="n">
        <f aca="false">IF(K4&gt;=1,0,I4*(L4-INDEX('pattern input'!$B$2:$AO$5,MATCH(A4&amp;"_"&amp;B4,'pattern input'!$A$2:$A$5,0),G4-1))/(1-K4))</f>
        <v>1.54414313093354</v>
      </c>
      <c r="N4" s="8" t="n">
        <f aca="false">INDEX(Data!$B$3:$T$21,MATCH(C4,Data!$A$3:$A$21,0),MATCH(D4,Data!$B$2:$T$2,0))-INDEX(Data!$B$3:$T$21,MATCH(C4,Data!$A$3:$A$21,0),MATCH(D4-1,Data!$B$2:$T$2,0))</f>
        <v>0</v>
      </c>
      <c r="O4" s="9" t="n">
        <f aca="false">M4-N4</f>
        <v>1.54414313093354</v>
      </c>
      <c r="P4" s="8" t="n">
        <f aca="false">IF(K4&gt;=1,H4+I4,H4+I4*(L4-K4)/(1-K4))</f>
        <v>9473.54414313093</v>
      </c>
      <c r="Q4" s="8" t="n">
        <f aca="false">INDEX(Data!$B$3:$T$21,MATCH(C4,Data!$A$3:$A$21,0),MATCH(D4,Data!$B$2:$T$2,0))</f>
        <v>9472</v>
      </c>
      <c r="R4" s="3" t="n">
        <f aca="false">IF(J4&gt;0,P4/J4,"")</f>
        <v>0.999846347559993</v>
      </c>
      <c r="S4" s="3" t="n">
        <f aca="false">IF(J4&gt;0,Q4/J4,"")</f>
        <v>0.999683377308707</v>
      </c>
      <c r="T4" s="6" t="n">
        <f aca="false">IF(J4&gt;0,R4-S4,"")</f>
        <v>0.000162970251285866</v>
      </c>
      <c r="U4" s="1" t="s">
        <v>20</v>
      </c>
      <c r="V4" s="8" t="n">
        <f aca="false">ABS(O4)</f>
        <v>1.54414313093354</v>
      </c>
      <c r="W4" s="8" t="n">
        <f aca="false">O4^2</f>
        <v>2.38437800880923</v>
      </c>
      <c r="X4" s="12" t="n">
        <f aca="false">IF(M4&gt;0,O4^2/M4,0)</f>
        <v>1.54414313093354</v>
      </c>
      <c r="Y4" s="8" t="n">
        <f aca="false">IF(V4&lt;=Metrics!$C$3,0.5*O4^2,Metrics!$C$3*(V4-0.5*Metrics!$C$3))</f>
        <v>1.19218900440461</v>
      </c>
      <c r="Z4" s="8" t="n">
        <f aca="false">ABS(P4-Q4)</f>
        <v>1.54414313093366</v>
      </c>
      <c r="AA4" s="13" t="n">
        <f aca="false">IF(J4&gt;0,T4^2,0)</f>
        <v>2.65593028041782E-008</v>
      </c>
    </row>
    <row r="5" customFormat="false" ht="15" hidden="false" customHeight="false" outlineLevel="0" collapsed="false">
      <c r="A5" s="11" t="s">
        <v>58</v>
      </c>
      <c r="B5" s="11" t="n">
        <v>2023</v>
      </c>
      <c r="C5" s="11" t="n">
        <v>2008</v>
      </c>
      <c r="D5" s="11" t="n">
        <v>2025</v>
      </c>
      <c r="E5" s="1" t="n">
        <f aca="false">D5-B5</f>
        <v>2</v>
      </c>
      <c r="F5" s="1" t="n">
        <f aca="false">B5-C5+1</f>
        <v>16</v>
      </c>
      <c r="G5" s="1" t="n">
        <f aca="false">D5-C5+1</f>
        <v>18</v>
      </c>
      <c r="H5" s="8" t="n">
        <f aca="false">INDEX(Data!$B$3:$T$21,MATCH(C5,Data!$A$3:$A$21,0),MATCH(B5,Data!$B$2:$T$2,0))</f>
        <v>9472</v>
      </c>
      <c r="I5" s="8" t="n">
        <f aca="false">INDEX(Data!$B$25:$T$43,MATCH(C5,Data!$A$3:$A$21,0),MATCH(B5,Data!$B$2:$T$2,0))</f>
        <v>3</v>
      </c>
      <c r="J5" s="8" t="n">
        <f aca="false">H5+I5</f>
        <v>9475</v>
      </c>
      <c r="K5" s="3" t="n">
        <f aca="false">INDEX('pattern input'!$B$2:$AO$5,MATCH(A5&amp;"_"&amp;B5,'pattern input'!$A$2:$A$5,0),F5)</f>
        <v>0.987557452795508</v>
      </c>
      <c r="L5" s="3" t="n">
        <f aca="false">INDEX('pattern input'!$B$2:$AO$5,MATCH(A5&amp;"_"&amp;B5,'pattern input'!$A$2:$A$5,0),G5)</f>
        <v>1</v>
      </c>
      <c r="M5" s="8" t="n">
        <f aca="false">IF(K5&gt;=1,0,I5*(L5-INDEX('pattern input'!$B$2:$AO$5,MATCH(A5&amp;"_"&amp;B5,'pattern input'!$A$2:$A$5,0),G5-1))/(1-K5))</f>
        <v>1.45585686906646</v>
      </c>
      <c r="N5" s="8" t="n">
        <f aca="false">INDEX(Data!$B$3:$T$21,MATCH(C5,Data!$A$3:$A$21,0),MATCH(D5,Data!$B$2:$T$2,0))-INDEX(Data!$B$3:$T$21,MATCH(C5,Data!$A$3:$A$21,0),MATCH(D5-1,Data!$B$2:$T$2,0))</f>
        <v>0</v>
      </c>
      <c r="O5" s="9" t="n">
        <f aca="false">M5-N5</f>
        <v>1.45585686906646</v>
      </c>
      <c r="P5" s="8" t="n">
        <f aca="false">IF(K5&gt;=1,H5+I5,H5+I5*(L5-K5)/(1-K5))</f>
        <v>9475</v>
      </c>
      <c r="Q5" s="8" t="n">
        <f aca="false">INDEX(Data!$B$3:$T$21,MATCH(C5,Data!$A$3:$A$21,0),MATCH(D5,Data!$B$2:$T$2,0))</f>
        <v>9472</v>
      </c>
      <c r="R5" s="3" t="n">
        <f aca="false">IF(J5&gt;0,P5/J5,"")</f>
        <v>1</v>
      </c>
      <c r="S5" s="3" t="n">
        <f aca="false">IF(J5&gt;0,Q5/J5,"")</f>
        <v>0.999683377308707</v>
      </c>
      <c r="T5" s="6" t="n">
        <f aca="false">IF(J5&gt;0,R5-S5,"")</f>
        <v>0.000316622691292845</v>
      </c>
      <c r="U5" s="1" t="s">
        <v>20</v>
      </c>
      <c r="V5" s="8" t="n">
        <f aca="false">ABS(O5)</f>
        <v>1.45585686906646</v>
      </c>
      <c r="W5" s="8" t="n">
        <f aca="false">O5^2</f>
        <v>2.119519223208</v>
      </c>
      <c r="X5" s="12" t="n">
        <f aca="false">IF(M5&gt;0,O5^2/M5,0)</f>
        <v>1.45585686906646</v>
      </c>
      <c r="Y5" s="8" t="n">
        <f aca="false">IF(V5&lt;=Metrics!$C$3,0.5*O5^2,Metrics!$C$3*(V5-0.5*Metrics!$C$3))</f>
        <v>1.059759611604</v>
      </c>
      <c r="Z5" s="8" t="n">
        <f aca="false">ABS(P5-Q5)</f>
        <v>3</v>
      </c>
      <c r="AA5" s="13" t="n">
        <f aca="false">IF(J5&gt;0,T5^2,0)</f>
        <v>1.00249928641524E-007</v>
      </c>
    </row>
    <row r="6" customFormat="false" ht="15" hidden="false" customHeight="false" outlineLevel="0" collapsed="false">
      <c r="A6" s="11" t="s">
        <v>58</v>
      </c>
      <c r="B6" s="11" t="n">
        <v>2023</v>
      </c>
      <c r="C6" s="11" t="n">
        <v>2009</v>
      </c>
      <c r="D6" s="11" t="n">
        <v>2024</v>
      </c>
      <c r="E6" s="1" t="n">
        <f aca="false">D6-B6</f>
        <v>1</v>
      </c>
      <c r="F6" s="1" t="n">
        <f aca="false">B6-C6+1</f>
        <v>15</v>
      </c>
      <c r="G6" s="1" t="n">
        <f aca="false">D6-C6+1</f>
        <v>16</v>
      </c>
      <c r="H6" s="8" t="n">
        <f aca="false">INDEX(Data!$B$3:$T$21,MATCH(C6,Data!$A$3:$A$21,0),MATCH(B6,Data!$B$2:$T$2,0))</f>
        <v>8788</v>
      </c>
      <c r="I6" s="8" t="n">
        <f aca="false">INDEX(Data!$B$25:$T$43,MATCH(C6,Data!$A$3:$A$21,0),MATCH(B6,Data!$B$2:$T$2,0))</f>
        <v>0</v>
      </c>
      <c r="J6" s="8" t="n">
        <f aca="false">H6+I6</f>
        <v>8788</v>
      </c>
      <c r="K6" s="3" t="n">
        <f aca="false">INDEX('pattern input'!$B$2:$AO$5,MATCH(A6&amp;"_"&amp;B6,'pattern input'!$A$2:$A$5,0),F6)</f>
        <v>0.980739632289463</v>
      </c>
      <c r="L6" s="3" t="n">
        <f aca="false">INDEX('pattern input'!$B$2:$AO$5,MATCH(A6&amp;"_"&amp;B6,'pattern input'!$A$2:$A$5,0),G6)</f>
        <v>0.987557452795508</v>
      </c>
      <c r="M6" s="8" t="n">
        <f aca="false">IF(K6&gt;=1,0,I6*(L6-INDEX('pattern input'!$B$2:$AO$5,MATCH(A6&amp;"_"&amp;B6,'pattern input'!$A$2:$A$5,0),G6-1))/(1-K6))</f>
        <v>0</v>
      </c>
      <c r="N6" s="8" t="n">
        <f aca="false">INDEX(Data!$B$3:$T$21,MATCH(C6,Data!$A$3:$A$21,0),MATCH(D6,Data!$B$2:$T$2,0))-INDEX(Data!$B$3:$T$21,MATCH(C6,Data!$A$3:$A$21,0),MATCH(D6-1,Data!$B$2:$T$2,0))</f>
        <v>0</v>
      </c>
      <c r="O6" s="9" t="n">
        <f aca="false">M6-N6</f>
        <v>0</v>
      </c>
      <c r="P6" s="8" t="n">
        <f aca="false">IF(K6&gt;=1,H6+I6,H6+I6*(L6-K6)/(1-K6))</f>
        <v>8788</v>
      </c>
      <c r="Q6" s="8" t="n">
        <f aca="false">INDEX(Data!$B$3:$T$21,MATCH(C6,Data!$A$3:$A$21,0),MATCH(D6,Data!$B$2:$T$2,0))</f>
        <v>8788</v>
      </c>
      <c r="R6" s="3" t="n">
        <f aca="false">IF(J6&gt;0,P6/J6,"")</f>
        <v>1</v>
      </c>
      <c r="S6" s="3" t="n">
        <f aca="false">IF(J6&gt;0,Q6/J6,"")</f>
        <v>1</v>
      </c>
      <c r="T6" s="6" t="n">
        <f aca="false">IF(J6&gt;0,R6-S6,"")</f>
        <v>0</v>
      </c>
      <c r="U6" s="1" t="s">
        <v>20</v>
      </c>
      <c r="V6" s="8" t="n">
        <f aca="false">ABS(O6)</f>
        <v>0</v>
      </c>
      <c r="W6" s="8" t="n">
        <f aca="false">O6^2</f>
        <v>0</v>
      </c>
      <c r="X6" s="12" t="n">
        <f aca="false">IF(M6&gt;0,O6^2/M6,0)</f>
        <v>0</v>
      </c>
      <c r="Y6" s="8" t="n">
        <f aca="false">IF(V6&lt;=Metrics!$C$3,0.5*O6^2,Metrics!$C$3*(V6-0.5*Metrics!$C$3))</f>
        <v>0</v>
      </c>
      <c r="Z6" s="8" t="n">
        <f aca="false">ABS(P6-Q6)</f>
        <v>0</v>
      </c>
      <c r="AA6" s="13" t="n">
        <f aca="false">IF(J6&gt;0,T6^2,0)</f>
        <v>0</v>
      </c>
    </row>
    <row r="7" customFormat="false" ht="15" hidden="false" customHeight="false" outlineLevel="0" collapsed="false">
      <c r="A7" s="11" t="s">
        <v>58</v>
      </c>
      <c r="B7" s="11" t="n">
        <v>2023</v>
      </c>
      <c r="C7" s="11" t="n">
        <v>2009</v>
      </c>
      <c r="D7" s="11" t="n">
        <v>2025</v>
      </c>
      <c r="E7" s="1" t="n">
        <f aca="false">D7-B7</f>
        <v>2</v>
      </c>
      <c r="F7" s="1" t="n">
        <f aca="false">B7-C7+1</f>
        <v>15</v>
      </c>
      <c r="G7" s="1" t="n">
        <f aca="false">D7-C7+1</f>
        <v>17</v>
      </c>
      <c r="H7" s="8" t="n">
        <f aca="false">INDEX(Data!$B$3:$T$21,MATCH(C7,Data!$A$3:$A$21,0),MATCH(B7,Data!$B$2:$T$2,0))</f>
        <v>8788</v>
      </c>
      <c r="I7" s="8" t="n">
        <f aca="false">INDEX(Data!$B$25:$T$43,MATCH(C7,Data!$A$3:$A$21,0),MATCH(B7,Data!$B$2:$T$2,0))</f>
        <v>0</v>
      </c>
      <c r="J7" s="8" t="n">
        <f aca="false">H7+I7</f>
        <v>8788</v>
      </c>
      <c r="K7" s="3" t="n">
        <f aca="false">INDEX('pattern input'!$B$2:$AO$5,MATCH(A7&amp;"_"&amp;B7,'pattern input'!$A$2:$A$5,0),F7)</f>
        <v>0.980739632289463</v>
      </c>
      <c r="L7" s="3" t="n">
        <f aca="false">INDEX('pattern input'!$B$2:$AO$5,MATCH(A7&amp;"_"&amp;B7,'pattern input'!$A$2:$A$5,0),G7)</f>
        <v>0.993961810727886</v>
      </c>
      <c r="M7" s="8" t="n">
        <f aca="false">IF(K7&gt;=1,0,I7*(L7-INDEX('pattern input'!$B$2:$AO$5,MATCH(A7&amp;"_"&amp;B7,'pattern input'!$A$2:$A$5,0),G7-1))/(1-K7))</f>
        <v>0</v>
      </c>
      <c r="N7" s="8" t="n">
        <f aca="false">INDEX(Data!$B$3:$T$21,MATCH(C7,Data!$A$3:$A$21,0),MATCH(D7,Data!$B$2:$T$2,0))-INDEX(Data!$B$3:$T$21,MATCH(C7,Data!$A$3:$A$21,0),MATCH(D7-1,Data!$B$2:$T$2,0))</f>
        <v>0</v>
      </c>
      <c r="O7" s="9" t="n">
        <f aca="false">M7-N7</f>
        <v>0</v>
      </c>
      <c r="P7" s="8" t="n">
        <f aca="false">IF(K7&gt;=1,H7+I7,H7+I7*(L7-K7)/(1-K7))</f>
        <v>8788</v>
      </c>
      <c r="Q7" s="8" t="n">
        <f aca="false">INDEX(Data!$B$3:$T$21,MATCH(C7,Data!$A$3:$A$21,0),MATCH(D7,Data!$B$2:$T$2,0))</f>
        <v>8788</v>
      </c>
      <c r="R7" s="3" t="n">
        <f aca="false">IF(J7&gt;0,P7/J7,"")</f>
        <v>1</v>
      </c>
      <c r="S7" s="3" t="n">
        <f aca="false">IF(J7&gt;0,Q7/J7,"")</f>
        <v>1</v>
      </c>
      <c r="T7" s="6" t="n">
        <f aca="false">IF(J7&gt;0,R7-S7,"")</f>
        <v>0</v>
      </c>
      <c r="U7" s="1" t="s">
        <v>20</v>
      </c>
      <c r="V7" s="8" t="n">
        <f aca="false">ABS(O7)</f>
        <v>0</v>
      </c>
      <c r="W7" s="8" t="n">
        <f aca="false">O7^2</f>
        <v>0</v>
      </c>
      <c r="X7" s="12" t="n">
        <f aca="false">IF(M7&gt;0,O7^2/M7,0)</f>
        <v>0</v>
      </c>
      <c r="Y7" s="8" t="n">
        <f aca="false">IF(V7&lt;=Metrics!$C$3,0.5*O7^2,Metrics!$C$3*(V7-0.5*Metrics!$C$3))</f>
        <v>0</v>
      </c>
      <c r="Z7" s="8" t="n">
        <f aca="false">ABS(P7-Q7)</f>
        <v>0</v>
      </c>
      <c r="AA7" s="13" t="n">
        <f aca="false">IF(J7&gt;0,T7^2,0)</f>
        <v>0</v>
      </c>
    </row>
    <row r="8" customFormat="false" ht="15" hidden="false" customHeight="false" outlineLevel="0" collapsed="false">
      <c r="A8" s="11" t="s">
        <v>58</v>
      </c>
      <c r="B8" s="11" t="n">
        <v>2023</v>
      </c>
      <c r="C8" s="11" t="n">
        <v>2010</v>
      </c>
      <c r="D8" s="11" t="n">
        <v>2024</v>
      </c>
      <c r="E8" s="1" t="n">
        <f aca="false">D8-B8</f>
        <v>1</v>
      </c>
      <c r="F8" s="1" t="n">
        <f aca="false">B8-C8+1</f>
        <v>14</v>
      </c>
      <c r="G8" s="1" t="n">
        <f aca="false">D8-C8+1</f>
        <v>15</v>
      </c>
      <c r="H8" s="8" t="n">
        <f aca="false">INDEX(Data!$B$3:$T$21,MATCH(C8,Data!$A$3:$A$21,0),MATCH(B8,Data!$B$2:$T$2,0))</f>
        <v>8854</v>
      </c>
      <c r="I8" s="8" t="n">
        <f aca="false">INDEX(Data!$B$25:$T$43,MATCH(C8,Data!$A$3:$A$21,0),MATCH(B8,Data!$B$2:$T$2,0))</f>
        <v>0</v>
      </c>
      <c r="J8" s="8" t="n">
        <f aca="false">H8+I8</f>
        <v>8854</v>
      </c>
      <c r="K8" s="3" t="n">
        <f aca="false">INDEX('pattern input'!$B$2:$AO$5,MATCH(A8&amp;"_"&amp;B8,'pattern input'!$A$2:$A$5,0),F8)</f>
        <v>0.973451256204861</v>
      </c>
      <c r="L8" s="3" t="n">
        <f aca="false">INDEX('pattern input'!$B$2:$AO$5,MATCH(A8&amp;"_"&amp;B8,'pattern input'!$A$2:$A$5,0),G8)</f>
        <v>0.980739632289463</v>
      </c>
      <c r="M8" s="8" t="n">
        <f aca="false">IF(K8&gt;=1,0,I8*(L8-INDEX('pattern input'!$B$2:$AO$5,MATCH(A8&amp;"_"&amp;B8,'pattern input'!$A$2:$A$5,0),G8-1))/(1-K8))</f>
        <v>0</v>
      </c>
      <c r="N8" s="8" t="n">
        <f aca="false">INDEX(Data!$B$3:$T$21,MATCH(C8,Data!$A$3:$A$21,0),MATCH(D8,Data!$B$2:$T$2,0))-INDEX(Data!$B$3:$T$21,MATCH(C8,Data!$A$3:$A$21,0),MATCH(D8-1,Data!$B$2:$T$2,0))</f>
        <v>0</v>
      </c>
      <c r="O8" s="9" t="n">
        <f aca="false">M8-N8</f>
        <v>0</v>
      </c>
      <c r="P8" s="8" t="n">
        <f aca="false">IF(K8&gt;=1,H8+I8,H8+I8*(L8-K8)/(1-K8))</f>
        <v>8854</v>
      </c>
      <c r="Q8" s="8" t="n">
        <f aca="false">INDEX(Data!$B$3:$T$21,MATCH(C8,Data!$A$3:$A$21,0),MATCH(D8,Data!$B$2:$T$2,0))</f>
        <v>8854</v>
      </c>
      <c r="R8" s="3" t="n">
        <f aca="false">IF(J8&gt;0,P8/J8,"")</f>
        <v>1</v>
      </c>
      <c r="S8" s="3" t="n">
        <f aca="false">IF(J8&gt;0,Q8/J8,"")</f>
        <v>1</v>
      </c>
      <c r="T8" s="6" t="n">
        <f aca="false">IF(J8&gt;0,R8-S8,"")</f>
        <v>0</v>
      </c>
      <c r="U8" s="1" t="s">
        <v>20</v>
      </c>
      <c r="V8" s="8" t="n">
        <f aca="false">ABS(O8)</f>
        <v>0</v>
      </c>
      <c r="W8" s="8" t="n">
        <f aca="false">O8^2</f>
        <v>0</v>
      </c>
      <c r="X8" s="12" t="n">
        <f aca="false">IF(M8&gt;0,O8^2/M8,0)</f>
        <v>0</v>
      </c>
      <c r="Y8" s="8" t="n">
        <f aca="false">IF(V8&lt;=Metrics!$C$3,0.5*O8^2,Metrics!$C$3*(V8-0.5*Metrics!$C$3))</f>
        <v>0</v>
      </c>
      <c r="Z8" s="8" t="n">
        <f aca="false">ABS(P8-Q8)</f>
        <v>0</v>
      </c>
      <c r="AA8" s="13" t="n">
        <f aca="false">IF(J8&gt;0,T8^2,0)</f>
        <v>0</v>
      </c>
    </row>
    <row r="9" customFormat="false" ht="15" hidden="false" customHeight="false" outlineLevel="0" collapsed="false">
      <c r="A9" s="11" t="s">
        <v>58</v>
      </c>
      <c r="B9" s="11" t="n">
        <v>2023</v>
      </c>
      <c r="C9" s="11" t="n">
        <v>2010</v>
      </c>
      <c r="D9" s="11" t="n">
        <v>2025</v>
      </c>
      <c r="E9" s="1" t="n">
        <f aca="false">D9-B9</f>
        <v>2</v>
      </c>
      <c r="F9" s="1" t="n">
        <f aca="false">B9-C9+1</f>
        <v>14</v>
      </c>
      <c r="G9" s="1" t="n">
        <f aca="false">D9-C9+1</f>
        <v>16</v>
      </c>
      <c r="H9" s="8" t="n">
        <f aca="false">INDEX(Data!$B$3:$T$21,MATCH(C9,Data!$A$3:$A$21,0),MATCH(B9,Data!$B$2:$T$2,0))</f>
        <v>8854</v>
      </c>
      <c r="I9" s="8" t="n">
        <f aca="false">INDEX(Data!$B$25:$T$43,MATCH(C9,Data!$A$3:$A$21,0),MATCH(B9,Data!$B$2:$T$2,0))</f>
        <v>0</v>
      </c>
      <c r="J9" s="8" t="n">
        <f aca="false">H9+I9</f>
        <v>8854</v>
      </c>
      <c r="K9" s="3" t="n">
        <f aca="false">INDEX('pattern input'!$B$2:$AO$5,MATCH(A9&amp;"_"&amp;B9,'pattern input'!$A$2:$A$5,0),F9)</f>
        <v>0.973451256204861</v>
      </c>
      <c r="L9" s="3" t="n">
        <f aca="false">INDEX('pattern input'!$B$2:$AO$5,MATCH(A9&amp;"_"&amp;B9,'pattern input'!$A$2:$A$5,0),G9)</f>
        <v>0.987557452795508</v>
      </c>
      <c r="M9" s="8" t="n">
        <f aca="false">IF(K9&gt;=1,0,I9*(L9-INDEX('pattern input'!$B$2:$AO$5,MATCH(A9&amp;"_"&amp;B9,'pattern input'!$A$2:$A$5,0),G9-1))/(1-K9))</f>
        <v>0</v>
      </c>
      <c r="N9" s="8" t="n">
        <f aca="false">INDEX(Data!$B$3:$T$21,MATCH(C9,Data!$A$3:$A$21,0),MATCH(D9,Data!$B$2:$T$2,0))-INDEX(Data!$B$3:$T$21,MATCH(C9,Data!$A$3:$A$21,0),MATCH(D9-1,Data!$B$2:$T$2,0))</f>
        <v>0</v>
      </c>
      <c r="O9" s="9" t="n">
        <f aca="false">M9-N9</f>
        <v>0</v>
      </c>
      <c r="P9" s="8" t="n">
        <f aca="false">IF(K9&gt;=1,H9+I9,H9+I9*(L9-K9)/(1-K9))</f>
        <v>8854</v>
      </c>
      <c r="Q9" s="8" t="n">
        <f aca="false">INDEX(Data!$B$3:$T$21,MATCH(C9,Data!$A$3:$A$21,0),MATCH(D9,Data!$B$2:$T$2,0))</f>
        <v>8854</v>
      </c>
      <c r="R9" s="3" t="n">
        <f aca="false">IF(J9&gt;0,P9/J9,"")</f>
        <v>1</v>
      </c>
      <c r="S9" s="3" t="n">
        <f aca="false">IF(J9&gt;0,Q9/J9,"")</f>
        <v>1</v>
      </c>
      <c r="T9" s="6" t="n">
        <f aca="false">IF(J9&gt;0,R9-S9,"")</f>
        <v>0</v>
      </c>
      <c r="U9" s="1" t="s">
        <v>20</v>
      </c>
      <c r="V9" s="8" t="n">
        <f aca="false">ABS(O9)</f>
        <v>0</v>
      </c>
      <c r="W9" s="8" t="n">
        <f aca="false">O9^2</f>
        <v>0</v>
      </c>
      <c r="X9" s="12" t="n">
        <f aca="false">IF(M9&gt;0,O9^2/M9,0)</f>
        <v>0</v>
      </c>
      <c r="Y9" s="8" t="n">
        <f aca="false">IF(V9&lt;=Metrics!$C$3,0.5*O9^2,Metrics!$C$3*(V9-0.5*Metrics!$C$3))</f>
        <v>0</v>
      </c>
      <c r="Z9" s="8" t="n">
        <f aca="false">ABS(P9-Q9)</f>
        <v>0</v>
      </c>
      <c r="AA9" s="13" t="n">
        <f aca="false">IF(J9&gt;0,T9^2,0)</f>
        <v>0</v>
      </c>
    </row>
    <row r="10" customFormat="false" ht="15" hidden="false" customHeight="false" outlineLevel="0" collapsed="false">
      <c r="A10" s="11" t="s">
        <v>58</v>
      </c>
      <c r="B10" s="11" t="n">
        <v>2023</v>
      </c>
      <c r="C10" s="11" t="n">
        <v>2011</v>
      </c>
      <c r="D10" s="11" t="n">
        <v>2024</v>
      </c>
      <c r="E10" s="1" t="n">
        <f aca="false">D10-B10</f>
        <v>1</v>
      </c>
      <c r="F10" s="1" t="n">
        <f aca="false">B10-C10+1</f>
        <v>13</v>
      </c>
      <c r="G10" s="1" t="n">
        <f aca="false">D10-C10+1</f>
        <v>14</v>
      </c>
      <c r="H10" s="8" t="n">
        <f aca="false">INDEX(Data!$B$3:$T$21,MATCH(C10,Data!$A$3:$A$21,0),MATCH(B10,Data!$B$2:$T$2,0))</f>
        <v>26889</v>
      </c>
      <c r="I10" s="8" t="n">
        <f aca="false">INDEX(Data!$B$25:$T$43,MATCH(C10,Data!$A$3:$A$21,0),MATCH(B10,Data!$B$2:$T$2,0))</f>
        <v>0</v>
      </c>
      <c r="J10" s="8" t="n">
        <f aca="false">H10+I10</f>
        <v>26889</v>
      </c>
      <c r="K10" s="3" t="n">
        <f aca="false">INDEX('pattern input'!$B$2:$AO$5,MATCH(A10&amp;"_"&amp;B10,'pattern input'!$A$2:$A$5,0),F10)</f>
        <v>0.965622523173715</v>
      </c>
      <c r="L10" s="3" t="n">
        <f aca="false">INDEX('pattern input'!$B$2:$AO$5,MATCH(A10&amp;"_"&amp;B10,'pattern input'!$A$2:$A$5,0),G10)</f>
        <v>0.973451256204861</v>
      </c>
      <c r="M10" s="8" t="n">
        <f aca="false">IF(K10&gt;=1,0,I10*(L10-INDEX('pattern input'!$B$2:$AO$5,MATCH(A10&amp;"_"&amp;B10,'pattern input'!$A$2:$A$5,0),G10-1))/(1-K10))</f>
        <v>0</v>
      </c>
      <c r="N10" s="8" t="n">
        <f aca="false">INDEX(Data!$B$3:$T$21,MATCH(C10,Data!$A$3:$A$21,0),MATCH(D10,Data!$B$2:$T$2,0))-INDEX(Data!$B$3:$T$21,MATCH(C10,Data!$A$3:$A$21,0),MATCH(D10-1,Data!$B$2:$T$2,0))</f>
        <v>0</v>
      </c>
      <c r="O10" s="9" t="n">
        <f aca="false">M10-N10</f>
        <v>0</v>
      </c>
      <c r="P10" s="8" t="n">
        <f aca="false">IF(K10&gt;=1,H10+I10,H10+I10*(L10-K10)/(1-K10))</f>
        <v>26889</v>
      </c>
      <c r="Q10" s="8" t="n">
        <f aca="false">INDEX(Data!$B$3:$T$21,MATCH(C10,Data!$A$3:$A$21,0),MATCH(D10,Data!$B$2:$T$2,0))</f>
        <v>26889</v>
      </c>
      <c r="R10" s="3" t="n">
        <f aca="false">IF(J10&gt;0,P10/J10,"")</f>
        <v>1</v>
      </c>
      <c r="S10" s="3" t="n">
        <f aca="false">IF(J10&gt;0,Q10/J10,"")</f>
        <v>1</v>
      </c>
      <c r="T10" s="6" t="n">
        <f aca="false">IF(J10&gt;0,R10-S10,"")</f>
        <v>0</v>
      </c>
      <c r="U10" s="1" t="s">
        <v>20</v>
      </c>
      <c r="V10" s="8" t="n">
        <f aca="false">ABS(O10)</f>
        <v>0</v>
      </c>
      <c r="W10" s="8" t="n">
        <f aca="false">O10^2</f>
        <v>0</v>
      </c>
      <c r="X10" s="12" t="n">
        <f aca="false">IF(M10&gt;0,O10^2/M10,0)</f>
        <v>0</v>
      </c>
      <c r="Y10" s="8" t="n">
        <f aca="false">IF(V10&lt;=Metrics!$C$3,0.5*O10^2,Metrics!$C$3*(V10-0.5*Metrics!$C$3))</f>
        <v>0</v>
      </c>
      <c r="Z10" s="8" t="n">
        <f aca="false">ABS(P10-Q10)</f>
        <v>0</v>
      </c>
      <c r="AA10" s="13" t="n">
        <f aca="false">IF(J10&gt;0,T10^2,0)</f>
        <v>0</v>
      </c>
    </row>
    <row r="11" customFormat="false" ht="15" hidden="false" customHeight="false" outlineLevel="0" collapsed="false">
      <c r="A11" s="11" t="s">
        <v>58</v>
      </c>
      <c r="B11" s="11" t="n">
        <v>2023</v>
      </c>
      <c r="C11" s="11" t="n">
        <v>2011</v>
      </c>
      <c r="D11" s="11" t="n">
        <v>2025</v>
      </c>
      <c r="E11" s="1" t="n">
        <f aca="false">D11-B11</f>
        <v>2</v>
      </c>
      <c r="F11" s="1" t="n">
        <f aca="false">B11-C11+1</f>
        <v>13</v>
      </c>
      <c r="G11" s="1" t="n">
        <f aca="false">D11-C11+1</f>
        <v>15</v>
      </c>
      <c r="H11" s="8" t="n">
        <f aca="false">INDEX(Data!$B$3:$T$21,MATCH(C11,Data!$A$3:$A$21,0),MATCH(B11,Data!$B$2:$T$2,0))</f>
        <v>26889</v>
      </c>
      <c r="I11" s="8" t="n">
        <f aca="false">INDEX(Data!$B$25:$T$43,MATCH(C11,Data!$A$3:$A$21,0),MATCH(B11,Data!$B$2:$T$2,0))</f>
        <v>0</v>
      </c>
      <c r="J11" s="8" t="n">
        <f aca="false">H11+I11</f>
        <v>26889</v>
      </c>
      <c r="K11" s="3" t="n">
        <f aca="false">INDEX('pattern input'!$B$2:$AO$5,MATCH(A11&amp;"_"&amp;B11,'pattern input'!$A$2:$A$5,0),F11)</f>
        <v>0.965622523173715</v>
      </c>
      <c r="L11" s="3" t="n">
        <f aca="false">INDEX('pattern input'!$B$2:$AO$5,MATCH(A11&amp;"_"&amp;B11,'pattern input'!$A$2:$A$5,0),G11)</f>
        <v>0.980739632289463</v>
      </c>
      <c r="M11" s="8" t="n">
        <f aca="false">IF(K11&gt;=1,0,I11*(L11-INDEX('pattern input'!$B$2:$AO$5,MATCH(A11&amp;"_"&amp;B11,'pattern input'!$A$2:$A$5,0),G11-1))/(1-K11))</f>
        <v>0</v>
      </c>
      <c r="N11" s="8" t="n">
        <f aca="false">INDEX(Data!$B$3:$T$21,MATCH(C11,Data!$A$3:$A$21,0),MATCH(D11,Data!$B$2:$T$2,0))-INDEX(Data!$B$3:$T$21,MATCH(C11,Data!$A$3:$A$21,0),MATCH(D11-1,Data!$B$2:$T$2,0))</f>
        <v>0</v>
      </c>
      <c r="O11" s="9" t="n">
        <f aca="false">M11-N11</f>
        <v>0</v>
      </c>
      <c r="P11" s="8" t="n">
        <f aca="false">IF(K11&gt;=1,H11+I11,H11+I11*(L11-K11)/(1-K11))</f>
        <v>26889</v>
      </c>
      <c r="Q11" s="8" t="n">
        <f aca="false">INDEX(Data!$B$3:$T$21,MATCH(C11,Data!$A$3:$A$21,0),MATCH(D11,Data!$B$2:$T$2,0))</f>
        <v>26889</v>
      </c>
      <c r="R11" s="3" t="n">
        <f aca="false">IF(J11&gt;0,P11/J11,"")</f>
        <v>1</v>
      </c>
      <c r="S11" s="3" t="n">
        <f aca="false">IF(J11&gt;0,Q11/J11,"")</f>
        <v>1</v>
      </c>
      <c r="T11" s="6" t="n">
        <f aca="false">IF(J11&gt;0,R11-S11,"")</f>
        <v>0</v>
      </c>
      <c r="U11" s="1" t="s">
        <v>20</v>
      </c>
      <c r="V11" s="8" t="n">
        <f aca="false">ABS(O11)</f>
        <v>0</v>
      </c>
      <c r="W11" s="8" t="n">
        <f aca="false">O11^2</f>
        <v>0</v>
      </c>
      <c r="X11" s="12" t="n">
        <f aca="false">IF(M11&gt;0,O11^2/M11,0)</f>
        <v>0</v>
      </c>
      <c r="Y11" s="8" t="n">
        <f aca="false">IF(V11&lt;=Metrics!$C$3,0.5*O11^2,Metrics!$C$3*(V11-0.5*Metrics!$C$3))</f>
        <v>0</v>
      </c>
      <c r="Z11" s="8" t="n">
        <f aca="false">ABS(P11-Q11)</f>
        <v>0</v>
      </c>
      <c r="AA11" s="13" t="n">
        <f aca="false">IF(J11&gt;0,T11^2,0)</f>
        <v>0</v>
      </c>
    </row>
    <row r="12" customFormat="false" ht="15" hidden="false" customHeight="false" outlineLevel="0" collapsed="false">
      <c r="A12" s="11" t="s">
        <v>58</v>
      </c>
      <c r="B12" s="11" t="n">
        <v>2023</v>
      </c>
      <c r="C12" s="11" t="n">
        <v>2012</v>
      </c>
      <c r="D12" s="11" t="n">
        <v>2024</v>
      </c>
      <c r="E12" s="1" t="n">
        <f aca="false">D12-B12</f>
        <v>1</v>
      </c>
      <c r="F12" s="1" t="n">
        <f aca="false">B12-C12+1</f>
        <v>12</v>
      </c>
      <c r="G12" s="1" t="n">
        <f aca="false">D12-C12+1</f>
        <v>13</v>
      </c>
      <c r="H12" s="8" t="n">
        <f aca="false">INDEX(Data!$B$3:$T$21,MATCH(C12,Data!$A$3:$A$21,0),MATCH(B12,Data!$B$2:$T$2,0))</f>
        <v>36764</v>
      </c>
      <c r="I12" s="8" t="n">
        <f aca="false">INDEX(Data!$B$25:$T$43,MATCH(C12,Data!$A$3:$A$21,0),MATCH(B12,Data!$B$2:$T$2,0))</f>
        <v>0</v>
      </c>
      <c r="J12" s="8" t="n">
        <f aca="false">H12+I12</f>
        <v>36764</v>
      </c>
      <c r="K12" s="3" t="n">
        <f aca="false">INDEX('pattern input'!$B$2:$AO$5,MATCH(A12&amp;"_"&amp;B12,'pattern input'!$A$2:$A$5,0),F12)</f>
        <v>0.957166847336756</v>
      </c>
      <c r="L12" s="3" t="n">
        <f aca="false">INDEX('pattern input'!$B$2:$AO$5,MATCH(A12&amp;"_"&amp;B12,'pattern input'!$A$2:$A$5,0),G12)</f>
        <v>0.965622523173715</v>
      </c>
      <c r="M12" s="8" t="n">
        <f aca="false">IF(K12&gt;=1,0,I12*(L12-INDEX('pattern input'!$B$2:$AO$5,MATCH(A12&amp;"_"&amp;B12,'pattern input'!$A$2:$A$5,0),G12-1))/(1-K12))</f>
        <v>0</v>
      </c>
      <c r="N12" s="8" t="n">
        <f aca="false">INDEX(Data!$B$3:$T$21,MATCH(C12,Data!$A$3:$A$21,0),MATCH(D12,Data!$B$2:$T$2,0))-INDEX(Data!$B$3:$T$21,MATCH(C12,Data!$A$3:$A$21,0),MATCH(D12-1,Data!$B$2:$T$2,0))</f>
        <v>0</v>
      </c>
      <c r="O12" s="9" t="n">
        <f aca="false">M12-N12</f>
        <v>0</v>
      </c>
      <c r="P12" s="8" t="n">
        <f aca="false">IF(K12&gt;=1,H12+I12,H12+I12*(L12-K12)/(1-K12))</f>
        <v>36764</v>
      </c>
      <c r="Q12" s="8" t="n">
        <f aca="false">INDEX(Data!$B$3:$T$21,MATCH(C12,Data!$A$3:$A$21,0),MATCH(D12,Data!$B$2:$T$2,0))</f>
        <v>36764</v>
      </c>
      <c r="R12" s="3" t="n">
        <f aca="false">IF(J12&gt;0,P12/J12,"")</f>
        <v>1</v>
      </c>
      <c r="S12" s="3" t="n">
        <f aca="false">IF(J12&gt;0,Q12/J12,"")</f>
        <v>1</v>
      </c>
      <c r="T12" s="6" t="n">
        <f aca="false">IF(J12&gt;0,R12-S12,"")</f>
        <v>0</v>
      </c>
      <c r="U12" s="1" t="s">
        <v>20</v>
      </c>
      <c r="V12" s="8" t="n">
        <f aca="false">ABS(O12)</f>
        <v>0</v>
      </c>
      <c r="W12" s="8" t="n">
        <f aca="false">O12^2</f>
        <v>0</v>
      </c>
      <c r="X12" s="12" t="n">
        <f aca="false">IF(M12&gt;0,O12^2/M12,0)</f>
        <v>0</v>
      </c>
      <c r="Y12" s="8" t="n">
        <f aca="false">IF(V12&lt;=Metrics!$C$3,0.5*O12^2,Metrics!$C$3*(V12-0.5*Metrics!$C$3))</f>
        <v>0</v>
      </c>
      <c r="Z12" s="8" t="n">
        <f aca="false">ABS(P12-Q12)</f>
        <v>0</v>
      </c>
      <c r="AA12" s="13" t="n">
        <f aca="false">IF(J12&gt;0,T12^2,0)</f>
        <v>0</v>
      </c>
    </row>
    <row r="13" customFormat="false" ht="15" hidden="false" customHeight="false" outlineLevel="0" collapsed="false">
      <c r="A13" s="11" t="s">
        <v>58</v>
      </c>
      <c r="B13" s="11" t="n">
        <v>2023</v>
      </c>
      <c r="C13" s="11" t="n">
        <v>2012</v>
      </c>
      <c r="D13" s="11" t="n">
        <v>2025</v>
      </c>
      <c r="E13" s="1" t="n">
        <f aca="false">D13-B13</f>
        <v>2</v>
      </c>
      <c r="F13" s="1" t="n">
        <f aca="false">B13-C13+1</f>
        <v>12</v>
      </c>
      <c r="G13" s="1" t="n">
        <f aca="false">D13-C13+1</f>
        <v>14</v>
      </c>
      <c r="H13" s="8" t="n">
        <f aca="false">INDEX(Data!$B$3:$T$21,MATCH(C13,Data!$A$3:$A$21,0),MATCH(B13,Data!$B$2:$T$2,0))</f>
        <v>36764</v>
      </c>
      <c r="I13" s="8" t="n">
        <f aca="false">INDEX(Data!$B$25:$T$43,MATCH(C13,Data!$A$3:$A$21,0),MATCH(B13,Data!$B$2:$T$2,0))</f>
        <v>0</v>
      </c>
      <c r="J13" s="8" t="n">
        <f aca="false">H13+I13</f>
        <v>36764</v>
      </c>
      <c r="K13" s="3" t="n">
        <f aca="false">INDEX('pattern input'!$B$2:$AO$5,MATCH(A13&amp;"_"&amp;B13,'pattern input'!$A$2:$A$5,0),F13)</f>
        <v>0.957166847336756</v>
      </c>
      <c r="L13" s="3" t="n">
        <f aca="false">INDEX('pattern input'!$B$2:$AO$5,MATCH(A13&amp;"_"&amp;B13,'pattern input'!$A$2:$A$5,0),G13)</f>
        <v>0.973451256204861</v>
      </c>
      <c r="M13" s="8" t="n">
        <f aca="false">IF(K13&gt;=1,0,I13*(L13-INDEX('pattern input'!$B$2:$AO$5,MATCH(A13&amp;"_"&amp;B13,'pattern input'!$A$2:$A$5,0),G13-1))/(1-K13))</f>
        <v>0</v>
      </c>
      <c r="N13" s="8" t="n">
        <f aca="false">INDEX(Data!$B$3:$T$21,MATCH(C13,Data!$A$3:$A$21,0),MATCH(D13,Data!$B$2:$T$2,0))-INDEX(Data!$B$3:$T$21,MATCH(C13,Data!$A$3:$A$21,0),MATCH(D13-1,Data!$B$2:$T$2,0))</f>
        <v>0</v>
      </c>
      <c r="O13" s="9" t="n">
        <f aca="false">M13-N13</f>
        <v>0</v>
      </c>
      <c r="P13" s="8" t="n">
        <f aca="false">IF(K13&gt;=1,H13+I13,H13+I13*(L13-K13)/(1-K13))</f>
        <v>36764</v>
      </c>
      <c r="Q13" s="8" t="n">
        <f aca="false">INDEX(Data!$B$3:$T$21,MATCH(C13,Data!$A$3:$A$21,0),MATCH(D13,Data!$B$2:$T$2,0))</f>
        <v>36764</v>
      </c>
      <c r="R13" s="3" t="n">
        <f aca="false">IF(J13&gt;0,P13/J13,"")</f>
        <v>1</v>
      </c>
      <c r="S13" s="3" t="n">
        <f aca="false">IF(J13&gt;0,Q13/J13,"")</f>
        <v>1</v>
      </c>
      <c r="T13" s="6" t="n">
        <f aca="false">IF(J13&gt;0,R13-S13,"")</f>
        <v>0</v>
      </c>
      <c r="U13" s="1" t="s">
        <v>20</v>
      </c>
      <c r="V13" s="8" t="n">
        <f aca="false">ABS(O13)</f>
        <v>0</v>
      </c>
      <c r="W13" s="8" t="n">
        <f aca="false">O13^2</f>
        <v>0</v>
      </c>
      <c r="X13" s="12" t="n">
        <f aca="false">IF(M13&gt;0,O13^2/M13,0)</f>
        <v>0</v>
      </c>
      <c r="Y13" s="8" t="n">
        <f aca="false">IF(V13&lt;=Metrics!$C$3,0.5*O13^2,Metrics!$C$3*(V13-0.5*Metrics!$C$3))</f>
        <v>0</v>
      </c>
      <c r="Z13" s="8" t="n">
        <f aca="false">ABS(P13-Q13)</f>
        <v>0</v>
      </c>
      <c r="AA13" s="13" t="n">
        <f aca="false">IF(J13&gt;0,T13^2,0)</f>
        <v>0</v>
      </c>
    </row>
    <row r="14" customFormat="false" ht="15" hidden="false" customHeight="false" outlineLevel="0" collapsed="false">
      <c r="A14" s="11" t="s">
        <v>58</v>
      </c>
      <c r="B14" s="11" t="n">
        <v>2023</v>
      </c>
      <c r="C14" s="11" t="n">
        <v>2013</v>
      </c>
      <c r="D14" s="11" t="n">
        <v>2024</v>
      </c>
      <c r="E14" s="1" t="n">
        <f aca="false">D14-B14</f>
        <v>1</v>
      </c>
      <c r="F14" s="1" t="n">
        <f aca="false">B14-C14+1</f>
        <v>11</v>
      </c>
      <c r="G14" s="1" t="n">
        <f aca="false">D14-C14+1</f>
        <v>12</v>
      </c>
      <c r="H14" s="8" t="n">
        <f aca="false">INDEX(Data!$B$3:$T$21,MATCH(C14,Data!$A$3:$A$21,0),MATCH(B14,Data!$B$2:$T$2,0))</f>
        <v>7000</v>
      </c>
      <c r="I14" s="8" t="n">
        <f aca="false">INDEX(Data!$B$25:$T$43,MATCH(C14,Data!$A$3:$A$21,0),MATCH(B14,Data!$B$2:$T$2,0))</f>
        <v>0</v>
      </c>
      <c r="J14" s="8" t="n">
        <f aca="false">H14+I14</f>
        <v>7000</v>
      </c>
      <c r="K14" s="3" t="n">
        <f aca="false">INDEX('pattern input'!$B$2:$AO$5,MATCH(A14&amp;"_"&amp;B14,'pattern input'!$A$2:$A$5,0),F14)</f>
        <v>0.947975004390207</v>
      </c>
      <c r="L14" s="3" t="n">
        <f aca="false">INDEX('pattern input'!$B$2:$AO$5,MATCH(A14&amp;"_"&amp;B14,'pattern input'!$A$2:$A$5,0),G14)</f>
        <v>0.957166847336756</v>
      </c>
      <c r="M14" s="8" t="n">
        <f aca="false">IF(K14&gt;=1,0,I14*(L14-INDEX('pattern input'!$B$2:$AO$5,MATCH(A14&amp;"_"&amp;B14,'pattern input'!$A$2:$A$5,0),G14-1))/(1-K14))</f>
        <v>0</v>
      </c>
      <c r="N14" s="8" t="n">
        <f aca="false">INDEX(Data!$B$3:$T$21,MATCH(C14,Data!$A$3:$A$21,0),MATCH(D14,Data!$B$2:$T$2,0))-INDEX(Data!$B$3:$T$21,MATCH(C14,Data!$A$3:$A$21,0),MATCH(D14-1,Data!$B$2:$T$2,0))</f>
        <v>0</v>
      </c>
      <c r="O14" s="9" t="n">
        <f aca="false">M14-N14</f>
        <v>0</v>
      </c>
      <c r="P14" s="8" t="n">
        <f aca="false">IF(K14&gt;=1,H14+I14,H14+I14*(L14-K14)/(1-K14))</f>
        <v>7000</v>
      </c>
      <c r="Q14" s="8" t="n">
        <f aca="false">INDEX(Data!$B$3:$T$21,MATCH(C14,Data!$A$3:$A$21,0),MATCH(D14,Data!$B$2:$T$2,0))</f>
        <v>7000</v>
      </c>
      <c r="R14" s="3" t="n">
        <f aca="false">IF(J14&gt;0,P14/J14,"")</f>
        <v>1</v>
      </c>
      <c r="S14" s="3" t="n">
        <f aca="false">IF(J14&gt;0,Q14/J14,"")</f>
        <v>1</v>
      </c>
      <c r="T14" s="6" t="n">
        <f aca="false">IF(J14&gt;0,R14-S14,"")</f>
        <v>0</v>
      </c>
      <c r="U14" s="1" t="s">
        <v>20</v>
      </c>
      <c r="V14" s="8" t="n">
        <f aca="false">ABS(O14)</f>
        <v>0</v>
      </c>
      <c r="W14" s="8" t="n">
        <f aca="false">O14^2</f>
        <v>0</v>
      </c>
      <c r="X14" s="12" t="n">
        <f aca="false">IF(M14&gt;0,O14^2/M14,0)</f>
        <v>0</v>
      </c>
      <c r="Y14" s="8" t="n">
        <f aca="false">IF(V14&lt;=Metrics!$C$3,0.5*O14^2,Metrics!$C$3*(V14-0.5*Metrics!$C$3))</f>
        <v>0</v>
      </c>
      <c r="Z14" s="8" t="n">
        <f aca="false">ABS(P14-Q14)</f>
        <v>0</v>
      </c>
      <c r="AA14" s="13" t="n">
        <f aca="false">IF(J14&gt;0,T14^2,0)</f>
        <v>0</v>
      </c>
    </row>
    <row r="15" customFormat="false" ht="15" hidden="false" customHeight="false" outlineLevel="0" collapsed="false">
      <c r="A15" s="11" t="s">
        <v>58</v>
      </c>
      <c r="B15" s="11" t="n">
        <v>2023</v>
      </c>
      <c r="C15" s="11" t="n">
        <v>2013</v>
      </c>
      <c r="D15" s="11" t="n">
        <v>2025</v>
      </c>
      <c r="E15" s="1" t="n">
        <f aca="false">D15-B15</f>
        <v>2</v>
      </c>
      <c r="F15" s="1" t="n">
        <f aca="false">B15-C15+1</f>
        <v>11</v>
      </c>
      <c r="G15" s="1" t="n">
        <f aca="false">D15-C15+1</f>
        <v>13</v>
      </c>
      <c r="H15" s="8" t="n">
        <f aca="false">INDEX(Data!$B$3:$T$21,MATCH(C15,Data!$A$3:$A$21,0),MATCH(B15,Data!$B$2:$T$2,0))</f>
        <v>7000</v>
      </c>
      <c r="I15" s="8" t="n">
        <f aca="false">INDEX(Data!$B$25:$T$43,MATCH(C15,Data!$A$3:$A$21,0),MATCH(B15,Data!$B$2:$T$2,0))</f>
        <v>0</v>
      </c>
      <c r="J15" s="8" t="n">
        <f aca="false">H15+I15</f>
        <v>7000</v>
      </c>
      <c r="K15" s="3" t="n">
        <f aca="false">INDEX('pattern input'!$B$2:$AO$5,MATCH(A15&amp;"_"&amp;B15,'pattern input'!$A$2:$A$5,0),F15)</f>
        <v>0.947975004390207</v>
      </c>
      <c r="L15" s="3" t="n">
        <f aca="false">INDEX('pattern input'!$B$2:$AO$5,MATCH(A15&amp;"_"&amp;B15,'pattern input'!$A$2:$A$5,0),G15)</f>
        <v>0.965622523173715</v>
      </c>
      <c r="M15" s="8" t="n">
        <f aca="false">IF(K15&gt;=1,0,I15*(L15-INDEX('pattern input'!$B$2:$AO$5,MATCH(A15&amp;"_"&amp;B15,'pattern input'!$A$2:$A$5,0),G15-1))/(1-K15))</f>
        <v>0</v>
      </c>
      <c r="N15" s="8" t="n">
        <f aca="false">INDEX(Data!$B$3:$T$21,MATCH(C15,Data!$A$3:$A$21,0),MATCH(D15,Data!$B$2:$T$2,0))-INDEX(Data!$B$3:$T$21,MATCH(C15,Data!$A$3:$A$21,0),MATCH(D15-1,Data!$B$2:$T$2,0))</f>
        <v>0</v>
      </c>
      <c r="O15" s="9" t="n">
        <f aca="false">M15-N15</f>
        <v>0</v>
      </c>
      <c r="P15" s="8" t="n">
        <f aca="false">IF(K15&gt;=1,H15+I15,H15+I15*(L15-K15)/(1-K15))</f>
        <v>7000</v>
      </c>
      <c r="Q15" s="8" t="n">
        <f aca="false">INDEX(Data!$B$3:$T$21,MATCH(C15,Data!$A$3:$A$21,0),MATCH(D15,Data!$B$2:$T$2,0))</f>
        <v>7000</v>
      </c>
      <c r="R15" s="3" t="n">
        <f aca="false">IF(J15&gt;0,P15/J15,"")</f>
        <v>1</v>
      </c>
      <c r="S15" s="3" t="n">
        <f aca="false">IF(J15&gt;0,Q15/J15,"")</f>
        <v>1</v>
      </c>
      <c r="T15" s="6" t="n">
        <f aca="false">IF(J15&gt;0,R15-S15,"")</f>
        <v>0</v>
      </c>
      <c r="U15" s="1" t="s">
        <v>20</v>
      </c>
      <c r="V15" s="8" t="n">
        <f aca="false">ABS(O15)</f>
        <v>0</v>
      </c>
      <c r="W15" s="8" t="n">
        <f aca="false">O15^2</f>
        <v>0</v>
      </c>
      <c r="X15" s="12" t="n">
        <f aca="false">IF(M15&gt;0,O15^2/M15,0)</f>
        <v>0</v>
      </c>
      <c r="Y15" s="8" t="n">
        <f aca="false">IF(V15&lt;=Metrics!$C$3,0.5*O15^2,Metrics!$C$3*(V15-0.5*Metrics!$C$3))</f>
        <v>0</v>
      </c>
      <c r="Z15" s="8" t="n">
        <f aca="false">ABS(P15-Q15)</f>
        <v>0</v>
      </c>
      <c r="AA15" s="13" t="n">
        <f aca="false">IF(J15&gt;0,T15^2,0)</f>
        <v>0</v>
      </c>
    </row>
    <row r="16" customFormat="false" ht="15" hidden="false" customHeight="false" outlineLevel="0" collapsed="false">
      <c r="A16" s="11" t="s">
        <v>58</v>
      </c>
      <c r="B16" s="11" t="n">
        <v>2023</v>
      </c>
      <c r="C16" s="11" t="n">
        <v>2014</v>
      </c>
      <c r="D16" s="11" t="n">
        <v>2024</v>
      </c>
      <c r="E16" s="1" t="n">
        <f aca="false">D16-B16</f>
        <v>1</v>
      </c>
      <c r="F16" s="1" t="n">
        <f aca="false">B16-C16+1</f>
        <v>10</v>
      </c>
      <c r="G16" s="1" t="n">
        <f aca="false">D16-C16+1</f>
        <v>11</v>
      </c>
      <c r="H16" s="8" t="n">
        <f aca="false">INDEX(Data!$B$3:$T$21,MATCH(C16,Data!$A$3:$A$21,0),MATCH(B16,Data!$B$2:$T$2,0))</f>
        <v>23172</v>
      </c>
      <c r="I16" s="8" t="n">
        <f aca="false">INDEX(Data!$B$25:$T$43,MATCH(C16,Data!$A$3:$A$21,0),MATCH(B16,Data!$B$2:$T$2,0))</f>
        <v>0</v>
      </c>
      <c r="J16" s="8" t="n">
        <f aca="false">H16+I16</f>
        <v>23172</v>
      </c>
      <c r="K16" s="3" t="n">
        <f aca="false">INDEX('pattern input'!$B$2:$AO$5,MATCH(A16&amp;"_"&amp;B16,'pattern input'!$A$2:$A$5,0),F16)</f>
        <v>0.93790647962622</v>
      </c>
      <c r="L16" s="3" t="n">
        <f aca="false">INDEX('pattern input'!$B$2:$AO$5,MATCH(A16&amp;"_"&amp;B16,'pattern input'!$A$2:$A$5,0),G16)</f>
        <v>0.947975004390207</v>
      </c>
      <c r="M16" s="8" t="n">
        <f aca="false">IF(K16&gt;=1,0,I16*(L16-INDEX('pattern input'!$B$2:$AO$5,MATCH(A16&amp;"_"&amp;B16,'pattern input'!$A$2:$A$5,0),G16-1))/(1-K16))</f>
        <v>0</v>
      </c>
      <c r="N16" s="8" t="n">
        <f aca="false">INDEX(Data!$B$3:$T$21,MATCH(C16,Data!$A$3:$A$21,0),MATCH(D16,Data!$B$2:$T$2,0))-INDEX(Data!$B$3:$T$21,MATCH(C16,Data!$A$3:$A$21,0),MATCH(D16-1,Data!$B$2:$T$2,0))</f>
        <v>0</v>
      </c>
      <c r="O16" s="9" t="n">
        <f aca="false">M16-N16</f>
        <v>0</v>
      </c>
      <c r="P16" s="8" t="n">
        <f aca="false">IF(K16&gt;=1,H16+I16,H16+I16*(L16-K16)/(1-K16))</f>
        <v>23172</v>
      </c>
      <c r="Q16" s="8" t="n">
        <f aca="false">INDEX(Data!$B$3:$T$21,MATCH(C16,Data!$A$3:$A$21,0),MATCH(D16,Data!$B$2:$T$2,0))</f>
        <v>23172</v>
      </c>
      <c r="R16" s="3" t="n">
        <f aca="false">IF(J16&gt;0,P16/J16,"")</f>
        <v>1</v>
      </c>
      <c r="S16" s="3" t="n">
        <f aca="false">IF(J16&gt;0,Q16/J16,"")</f>
        <v>1</v>
      </c>
      <c r="T16" s="6" t="n">
        <f aca="false">IF(J16&gt;0,R16-S16,"")</f>
        <v>0</v>
      </c>
      <c r="U16" s="1" t="s">
        <v>20</v>
      </c>
      <c r="V16" s="8" t="n">
        <f aca="false">ABS(O16)</f>
        <v>0</v>
      </c>
      <c r="W16" s="8" t="n">
        <f aca="false">O16^2</f>
        <v>0</v>
      </c>
      <c r="X16" s="12" t="n">
        <f aca="false">IF(M16&gt;0,O16^2/M16,0)</f>
        <v>0</v>
      </c>
      <c r="Y16" s="8" t="n">
        <f aca="false">IF(V16&lt;=Metrics!$C$3,0.5*O16^2,Metrics!$C$3*(V16-0.5*Metrics!$C$3))</f>
        <v>0</v>
      </c>
      <c r="Z16" s="8" t="n">
        <f aca="false">ABS(P16-Q16)</f>
        <v>0</v>
      </c>
      <c r="AA16" s="13" t="n">
        <f aca="false">IF(J16&gt;0,T16^2,0)</f>
        <v>0</v>
      </c>
    </row>
    <row r="17" customFormat="false" ht="15" hidden="false" customHeight="false" outlineLevel="0" collapsed="false">
      <c r="A17" s="11" t="s">
        <v>58</v>
      </c>
      <c r="B17" s="11" t="n">
        <v>2023</v>
      </c>
      <c r="C17" s="11" t="n">
        <v>2014</v>
      </c>
      <c r="D17" s="11" t="n">
        <v>2025</v>
      </c>
      <c r="E17" s="1" t="n">
        <f aca="false">D17-B17</f>
        <v>2</v>
      </c>
      <c r="F17" s="1" t="n">
        <f aca="false">B17-C17+1</f>
        <v>10</v>
      </c>
      <c r="G17" s="1" t="n">
        <f aca="false">D17-C17+1</f>
        <v>12</v>
      </c>
      <c r="H17" s="8" t="n">
        <f aca="false">INDEX(Data!$B$3:$T$21,MATCH(C17,Data!$A$3:$A$21,0),MATCH(B17,Data!$B$2:$T$2,0))</f>
        <v>23172</v>
      </c>
      <c r="I17" s="8" t="n">
        <f aca="false">INDEX(Data!$B$25:$T$43,MATCH(C17,Data!$A$3:$A$21,0),MATCH(B17,Data!$B$2:$T$2,0))</f>
        <v>0</v>
      </c>
      <c r="J17" s="8" t="n">
        <f aca="false">H17+I17</f>
        <v>23172</v>
      </c>
      <c r="K17" s="3" t="n">
        <f aca="false">INDEX('pattern input'!$B$2:$AO$5,MATCH(A17&amp;"_"&amp;B17,'pattern input'!$A$2:$A$5,0),F17)</f>
        <v>0.93790647962622</v>
      </c>
      <c r="L17" s="3" t="n">
        <f aca="false">INDEX('pattern input'!$B$2:$AO$5,MATCH(A17&amp;"_"&amp;B17,'pattern input'!$A$2:$A$5,0),G17)</f>
        <v>0.957166847336756</v>
      </c>
      <c r="M17" s="8" t="n">
        <f aca="false">IF(K17&gt;=1,0,I17*(L17-INDEX('pattern input'!$B$2:$AO$5,MATCH(A17&amp;"_"&amp;B17,'pattern input'!$A$2:$A$5,0),G17-1))/(1-K17))</f>
        <v>0</v>
      </c>
      <c r="N17" s="8" t="n">
        <f aca="false">INDEX(Data!$B$3:$T$21,MATCH(C17,Data!$A$3:$A$21,0),MATCH(D17,Data!$B$2:$T$2,0))-INDEX(Data!$B$3:$T$21,MATCH(C17,Data!$A$3:$A$21,0),MATCH(D17-1,Data!$B$2:$T$2,0))</f>
        <v>0</v>
      </c>
      <c r="O17" s="9" t="n">
        <f aca="false">M17-N17</f>
        <v>0</v>
      </c>
      <c r="P17" s="8" t="n">
        <f aca="false">IF(K17&gt;=1,H17+I17,H17+I17*(L17-K17)/(1-K17))</f>
        <v>23172</v>
      </c>
      <c r="Q17" s="8" t="n">
        <f aca="false">INDEX(Data!$B$3:$T$21,MATCH(C17,Data!$A$3:$A$21,0),MATCH(D17,Data!$B$2:$T$2,0))</f>
        <v>23172</v>
      </c>
      <c r="R17" s="3" t="n">
        <f aca="false">IF(J17&gt;0,P17/J17,"")</f>
        <v>1</v>
      </c>
      <c r="S17" s="3" t="n">
        <f aca="false">IF(J17&gt;0,Q17/J17,"")</f>
        <v>1</v>
      </c>
      <c r="T17" s="6" t="n">
        <f aca="false">IF(J17&gt;0,R17-S17,"")</f>
        <v>0</v>
      </c>
      <c r="U17" s="1" t="s">
        <v>20</v>
      </c>
      <c r="V17" s="8" t="n">
        <f aca="false">ABS(O17)</f>
        <v>0</v>
      </c>
      <c r="W17" s="8" t="n">
        <f aca="false">O17^2</f>
        <v>0</v>
      </c>
      <c r="X17" s="12" t="n">
        <f aca="false">IF(M17&gt;0,O17^2/M17,0)</f>
        <v>0</v>
      </c>
      <c r="Y17" s="8" t="n">
        <f aca="false">IF(V17&lt;=Metrics!$C$3,0.5*O17^2,Metrics!$C$3*(V17-0.5*Metrics!$C$3))</f>
        <v>0</v>
      </c>
      <c r="Z17" s="8" t="n">
        <f aca="false">ABS(P17-Q17)</f>
        <v>0</v>
      </c>
      <c r="AA17" s="13" t="n">
        <f aca="false">IF(J17&gt;0,T17^2,0)</f>
        <v>0</v>
      </c>
    </row>
    <row r="18" customFormat="false" ht="15" hidden="false" customHeight="false" outlineLevel="0" collapsed="false">
      <c r="A18" s="11" t="s">
        <v>58</v>
      </c>
      <c r="B18" s="11" t="n">
        <v>2023</v>
      </c>
      <c r="C18" s="11" t="n">
        <v>2015</v>
      </c>
      <c r="D18" s="11" t="n">
        <v>2024</v>
      </c>
      <c r="E18" s="1" t="n">
        <f aca="false">D18-B18</f>
        <v>1</v>
      </c>
      <c r="F18" s="1" t="n">
        <f aca="false">B18-C18+1</f>
        <v>9</v>
      </c>
      <c r="G18" s="1" t="n">
        <f aca="false">D18-C18+1</f>
        <v>10</v>
      </c>
      <c r="H18" s="8" t="n">
        <f aca="false">INDEX(Data!$B$3:$T$21,MATCH(C18,Data!$A$3:$A$21,0),MATCH(B18,Data!$B$2:$T$2,0))</f>
        <v>31462</v>
      </c>
      <c r="I18" s="8" t="n">
        <f aca="false">INDEX(Data!$B$25:$T$43,MATCH(C18,Data!$A$3:$A$21,0),MATCH(B18,Data!$B$2:$T$2,0))</f>
        <v>0</v>
      </c>
      <c r="J18" s="8" t="n">
        <f aca="false">H18+I18</f>
        <v>31462</v>
      </c>
      <c r="K18" s="3" t="n">
        <f aca="false">INDEX('pattern input'!$B$2:$AO$5,MATCH(A18&amp;"_"&amp;B18,'pattern input'!$A$2:$A$5,0),F18)</f>
        <v>0.926776241878004</v>
      </c>
      <c r="L18" s="3" t="n">
        <f aca="false">INDEX('pattern input'!$B$2:$AO$5,MATCH(A18&amp;"_"&amp;B18,'pattern input'!$A$2:$A$5,0),G18)</f>
        <v>0.93790647962622</v>
      </c>
      <c r="M18" s="8" t="n">
        <f aca="false">IF(K18&gt;=1,0,I18*(L18-INDEX('pattern input'!$B$2:$AO$5,MATCH(A18&amp;"_"&amp;B18,'pattern input'!$A$2:$A$5,0),G18-1))/(1-K18))</f>
        <v>0</v>
      </c>
      <c r="N18" s="8" t="n">
        <f aca="false">INDEX(Data!$B$3:$T$21,MATCH(C18,Data!$A$3:$A$21,0),MATCH(D18,Data!$B$2:$T$2,0))-INDEX(Data!$B$3:$T$21,MATCH(C18,Data!$A$3:$A$21,0),MATCH(D18-1,Data!$B$2:$T$2,0))</f>
        <v>0</v>
      </c>
      <c r="O18" s="9" t="n">
        <f aca="false">M18-N18</f>
        <v>0</v>
      </c>
      <c r="P18" s="8" t="n">
        <f aca="false">IF(K18&gt;=1,H18+I18,H18+I18*(L18-K18)/(1-K18))</f>
        <v>31462</v>
      </c>
      <c r="Q18" s="8" t="n">
        <f aca="false">INDEX(Data!$B$3:$T$21,MATCH(C18,Data!$A$3:$A$21,0),MATCH(D18,Data!$B$2:$T$2,0))</f>
        <v>31462</v>
      </c>
      <c r="R18" s="3" t="n">
        <f aca="false">IF(J18&gt;0,P18/J18,"")</f>
        <v>1</v>
      </c>
      <c r="S18" s="3" t="n">
        <f aca="false">IF(J18&gt;0,Q18/J18,"")</f>
        <v>1</v>
      </c>
      <c r="T18" s="6" t="n">
        <f aca="false">IF(J18&gt;0,R18-S18,"")</f>
        <v>0</v>
      </c>
      <c r="U18" s="1" t="s">
        <v>20</v>
      </c>
      <c r="V18" s="8" t="n">
        <f aca="false">ABS(O18)</f>
        <v>0</v>
      </c>
      <c r="W18" s="8" t="n">
        <f aca="false">O18^2</f>
        <v>0</v>
      </c>
      <c r="X18" s="12" t="n">
        <f aca="false">IF(M18&gt;0,O18^2/M18,0)</f>
        <v>0</v>
      </c>
      <c r="Y18" s="8" t="n">
        <f aca="false">IF(V18&lt;=Metrics!$C$3,0.5*O18^2,Metrics!$C$3*(V18-0.5*Metrics!$C$3))</f>
        <v>0</v>
      </c>
      <c r="Z18" s="8" t="n">
        <f aca="false">ABS(P18-Q18)</f>
        <v>0</v>
      </c>
      <c r="AA18" s="13" t="n">
        <f aca="false">IF(J18&gt;0,T18^2,0)</f>
        <v>0</v>
      </c>
    </row>
    <row r="19" customFormat="false" ht="15" hidden="false" customHeight="false" outlineLevel="0" collapsed="false">
      <c r="A19" s="11" t="s">
        <v>58</v>
      </c>
      <c r="B19" s="11" t="n">
        <v>2023</v>
      </c>
      <c r="C19" s="11" t="n">
        <v>2015</v>
      </c>
      <c r="D19" s="11" t="n">
        <v>2025</v>
      </c>
      <c r="E19" s="1" t="n">
        <f aca="false">D19-B19</f>
        <v>2</v>
      </c>
      <c r="F19" s="1" t="n">
        <f aca="false">B19-C19+1</f>
        <v>9</v>
      </c>
      <c r="G19" s="1" t="n">
        <f aca="false">D19-C19+1</f>
        <v>11</v>
      </c>
      <c r="H19" s="8" t="n">
        <f aca="false">INDEX(Data!$B$3:$T$21,MATCH(C19,Data!$A$3:$A$21,0),MATCH(B19,Data!$B$2:$T$2,0))</f>
        <v>31462</v>
      </c>
      <c r="I19" s="8" t="n">
        <f aca="false">INDEX(Data!$B$25:$T$43,MATCH(C19,Data!$A$3:$A$21,0),MATCH(B19,Data!$B$2:$T$2,0))</f>
        <v>0</v>
      </c>
      <c r="J19" s="8" t="n">
        <f aca="false">H19+I19</f>
        <v>31462</v>
      </c>
      <c r="K19" s="3" t="n">
        <f aca="false">INDEX('pattern input'!$B$2:$AO$5,MATCH(A19&amp;"_"&amp;B19,'pattern input'!$A$2:$A$5,0),F19)</f>
        <v>0.926776241878004</v>
      </c>
      <c r="L19" s="3" t="n">
        <f aca="false">INDEX('pattern input'!$B$2:$AO$5,MATCH(A19&amp;"_"&amp;B19,'pattern input'!$A$2:$A$5,0),G19)</f>
        <v>0.947975004390207</v>
      </c>
      <c r="M19" s="8" t="n">
        <f aca="false">IF(K19&gt;=1,0,I19*(L19-INDEX('pattern input'!$B$2:$AO$5,MATCH(A19&amp;"_"&amp;B19,'pattern input'!$A$2:$A$5,0),G19-1))/(1-K19))</f>
        <v>0</v>
      </c>
      <c r="N19" s="8" t="n">
        <f aca="false">INDEX(Data!$B$3:$T$21,MATCH(C19,Data!$A$3:$A$21,0),MATCH(D19,Data!$B$2:$T$2,0))-INDEX(Data!$B$3:$T$21,MATCH(C19,Data!$A$3:$A$21,0),MATCH(D19-1,Data!$B$2:$T$2,0))</f>
        <v>0</v>
      </c>
      <c r="O19" s="9" t="n">
        <f aca="false">M19-N19</f>
        <v>0</v>
      </c>
      <c r="P19" s="8" t="n">
        <f aca="false">IF(K19&gt;=1,H19+I19,H19+I19*(L19-K19)/(1-K19))</f>
        <v>31462</v>
      </c>
      <c r="Q19" s="8" t="n">
        <f aca="false">INDEX(Data!$B$3:$T$21,MATCH(C19,Data!$A$3:$A$21,0),MATCH(D19,Data!$B$2:$T$2,0))</f>
        <v>31462</v>
      </c>
      <c r="R19" s="3" t="n">
        <f aca="false">IF(J19&gt;0,P19/J19,"")</f>
        <v>1</v>
      </c>
      <c r="S19" s="3" t="n">
        <f aca="false">IF(J19&gt;0,Q19/J19,"")</f>
        <v>1</v>
      </c>
      <c r="T19" s="6" t="n">
        <f aca="false">IF(J19&gt;0,R19-S19,"")</f>
        <v>0</v>
      </c>
      <c r="U19" s="1" t="s">
        <v>20</v>
      </c>
      <c r="V19" s="8" t="n">
        <f aca="false">ABS(O19)</f>
        <v>0</v>
      </c>
      <c r="W19" s="8" t="n">
        <f aca="false">O19^2</f>
        <v>0</v>
      </c>
      <c r="X19" s="12" t="n">
        <f aca="false">IF(M19&gt;0,O19^2/M19,0)</f>
        <v>0</v>
      </c>
      <c r="Y19" s="8" t="n">
        <f aca="false">IF(V19&lt;=Metrics!$C$3,0.5*O19^2,Metrics!$C$3*(V19-0.5*Metrics!$C$3))</f>
        <v>0</v>
      </c>
      <c r="Z19" s="8" t="n">
        <f aca="false">ABS(P19-Q19)</f>
        <v>0</v>
      </c>
      <c r="AA19" s="13" t="n">
        <f aca="false">IF(J19&gt;0,T19^2,0)</f>
        <v>0</v>
      </c>
    </row>
    <row r="20" customFormat="false" ht="15" hidden="false" customHeight="false" outlineLevel="0" collapsed="false">
      <c r="A20" s="11" t="s">
        <v>58</v>
      </c>
      <c r="B20" s="11" t="n">
        <v>2023</v>
      </c>
      <c r="C20" s="11" t="n">
        <v>2016</v>
      </c>
      <c r="D20" s="11" t="n">
        <v>2024</v>
      </c>
      <c r="E20" s="1" t="n">
        <f aca="false">D20-B20</f>
        <v>1</v>
      </c>
      <c r="F20" s="1" t="n">
        <f aca="false">B20-C20+1</f>
        <v>8</v>
      </c>
      <c r="G20" s="1" t="n">
        <f aca="false">D20-C20+1</f>
        <v>9</v>
      </c>
      <c r="H20" s="8" t="n">
        <f aca="false">INDEX(Data!$B$3:$T$21,MATCH(C20,Data!$A$3:$A$21,0),MATCH(B20,Data!$B$2:$T$2,0))</f>
        <v>2439</v>
      </c>
      <c r="I20" s="8" t="n">
        <f aca="false">INDEX(Data!$B$25:$T$43,MATCH(C20,Data!$A$3:$A$21,0),MATCH(B20,Data!$B$2:$T$2,0))</f>
        <v>0</v>
      </c>
      <c r="J20" s="8" t="n">
        <f aca="false">H20+I20</f>
        <v>2439</v>
      </c>
      <c r="K20" s="3" t="n">
        <f aca="false">INDEX('pattern input'!$B$2:$AO$5,MATCH(A20&amp;"_"&amp;B20,'pattern input'!$A$2:$A$5,0),F20)</f>
        <v>0.914333694673512</v>
      </c>
      <c r="L20" s="3" t="n">
        <f aca="false">INDEX('pattern input'!$B$2:$AO$5,MATCH(A20&amp;"_"&amp;B20,'pattern input'!$A$2:$A$5,0),G20)</f>
        <v>0.926776241878004</v>
      </c>
      <c r="M20" s="8" t="n">
        <f aca="false">IF(K20&gt;=1,0,I20*(L20-INDEX('pattern input'!$B$2:$AO$5,MATCH(A20&amp;"_"&amp;B20,'pattern input'!$A$2:$A$5,0),G20-1))/(1-K20))</f>
        <v>0</v>
      </c>
      <c r="N20" s="8" t="n">
        <f aca="false">INDEX(Data!$B$3:$T$21,MATCH(C20,Data!$A$3:$A$21,0),MATCH(D20,Data!$B$2:$T$2,0))-INDEX(Data!$B$3:$T$21,MATCH(C20,Data!$A$3:$A$21,0),MATCH(D20-1,Data!$B$2:$T$2,0))</f>
        <v>0</v>
      </c>
      <c r="O20" s="9" t="n">
        <f aca="false">M20-N20</f>
        <v>0</v>
      </c>
      <c r="P20" s="8" t="n">
        <f aca="false">IF(K20&gt;=1,H20+I20,H20+I20*(L20-K20)/(1-K20))</f>
        <v>2439</v>
      </c>
      <c r="Q20" s="8" t="n">
        <f aca="false">INDEX(Data!$B$3:$T$21,MATCH(C20,Data!$A$3:$A$21,0),MATCH(D20,Data!$B$2:$T$2,0))</f>
        <v>2439</v>
      </c>
      <c r="R20" s="3" t="n">
        <f aca="false">IF(J20&gt;0,P20/J20,"")</f>
        <v>1</v>
      </c>
      <c r="S20" s="3" t="n">
        <f aca="false">IF(J20&gt;0,Q20/J20,"")</f>
        <v>1</v>
      </c>
      <c r="T20" s="6" t="n">
        <f aca="false">IF(J20&gt;0,R20-S20,"")</f>
        <v>0</v>
      </c>
      <c r="U20" s="1" t="s">
        <v>20</v>
      </c>
      <c r="V20" s="8" t="n">
        <f aca="false">ABS(O20)</f>
        <v>0</v>
      </c>
      <c r="W20" s="8" t="n">
        <f aca="false">O20^2</f>
        <v>0</v>
      </c>
      <c r="X20" s="12" t="n">
        <f aca="false">IF(M20&gt;0,O20^2/M20,0)</f>
        <v>0</v>
      </c>
      <c r="Y20" s="8" t="n">
        <f aca="false">IF(V20&lt;=Metrics!$C$3,0.5*O20^2,Metrics!$C$3*(V20-0.5*Metrics!$C$3))</f>
        <v>0</v>
      </c>
      <c r="Z20" s="8" t="n">
        <f aca="false">ABS(P20-Q20)</f>
        <v>0</v>
      </c>
      <c r="AA20" s="13" t="n">
        <f aca="false">IF(J20&gt;0,T20^2,0)</f>
        <v>0</v>
      </c>
    </row>
    <row r="21" customFormat="false" ht="15" hidden="false" customHeight="false" outlineLevel="0" collapsed="false">
      <c r="A21" s="11" t="s">
        <v>58</v>
      </c>
      <c r="B21" s="11" t="n">
        <v>2023</v>
      </c>
      <c r="C21" s="11" t="n">
        <v>2016</v>
      </c>
      <c r="D21" s="11" t="n">
        <v>2025</v>
      </c>
      <c r="E21" s="1" t="n">
        <f aca="false">D21-B21</f>
        <v>2</v>
      </c>
      <c r="F21" s="1" t="n">
        <f aca="false">B21-C21+1</f>
        <v>8</v>
      </c>
      <c r="G21" s="1" t="n">
        <f aca="false">D21-C21+1</f>
        <v>10</v>
      </c>
      <c r="H21" s="8" t="n">
        <f aca="false">INDEX(Data!$B$3:$T$21,MATCH(C21,Data!$A$3:$A$21,0),MATCH(B21,Data!$B$2:$T$2,0))</f>
        <v>2439</v>
      </c>
      <c r="I21" s="8" t="n">
        <f aca="false">INDEX(Data!$B$25:$T$43,MATCH(C21,Data!$A$3:$A$21,0),MATCH(B21,Data!$B$2:$T$2,0))</f>
        <v>0</v>
      </c>
      <c r="J21" s="8" t="n">
        <f aca="false">H21+I21</f>
        <v>2439</v>
      </c>
      <c r="K21" s="3" t="n">
        <f aca="false">INDEX('pattern input'!$B$2:$AO$5,MATCH(A21&amp;"_"&amp;B21,'pattern input'!$A$2:$A$5,0),F21)</f>
        <v>0.914333694673512</v>
      </c>
      <c r="L21" s="3" t="n">
        <f aca="false">INDEX('pattern input'!$B$2:$AO$5,MATCH(A21&amp;"_"&amp;B21,'pattern input'!$A$2:$A$5,0),G21)</f>
        <v>0.93790647962622</v>
      </c>
      <c r="M21" s="8" t="n">
        <f aca="false">IF(K21&gt;=1,0,I21*(L21-INDEX('pattern input'!$B$2:$AO$5,MATCH(A21&amp;"_"&amp;B21,'pattern input'!$A$2:$A$5,0),G21-1))/(1-K21))</f>
        <v>0</v>
      </c>
      <c r="N21" s="8" t="n">
        <f aca="false">INDEX(Data!$B$3:$T$21,MATCH(C21,Data!$A$3:$A$21,0),MATCH(D21,Data!$B$2:$T$2,0))-INDEX(Data!$B$3:$T$21,MATCH(C21,Data!$A$3:$A$21,0),MATCH(D21-1,Data!$B$2:$T$2,0))</f>
        <v>0</v>
      </c>
      <c r="O21" s="9" t="n">
        <f aca="false">M21-N21</f>
        <v>0</v>
      </c>
      <c r="P21" s="8" t="n">
        <f aca="false">IF(K21&gt;=1,H21+I21,H21+I21*(L21-K21)/(1-K21))</f>
        <v>2439</v>
      </c>
      <c r="Q21" s="8" t="n">
        <f aca="false">INDEX(Data!$B$3:$T$21,MATCH(C21,Data!$A$3:$A$21,0),MATCH(D21,Data!$B$2:$T$2,0))</f>
        <v>2439</v>
      </c>
      <c r="R21" s="3" t="n">
        <f aca="false">IF(J21&gt;0,P21/J21,"")</f>
        <v>1</v>
      </c>
      <c r="S21" s="3" t="n">
        <f aca="false">IF(J21&gt;0,Q21/J21,"")</f>
        <v>1</v>
      </c>
      <c r="T21" s="6" t="n">
        <f aca="false">IF(J21&gt;0,R21-S21,"")</f>
        <v>0</v>
      </c>
      <c r="U21" s="1" t="s">
        <v>20</v>
      </c>
      <c r="V21" s="8" t="n">
        <f aca="false">ABS(O21)</f>
        <v>0</v>
      </c>
      <c r="W21" s="8" t="n">
        <f aca="false">O21^2</f>
        <v>0</v>
      </c>
      <c r="X21" s="12" t="n">
        <f aca="false">IF(M21&gt;0,O21^2/M21,0)</f>
        <v>0</v>
      </c>
      <c r="Y21" s="8" t="n">
        <f aca="false">IF(V21&lt;=Metrics!$C$3,0.5*O21^2,Metrics!$C$3*(V21-0.5*Metrics!$C$3))</f>
        <v>0</v>
      </c>
      <c r="Z21" s="8" t="n">
        <f aca="false">ABS(P21-Q21)</f>
        <v>0</v>
      </c>
      <c r="AA21" s="13" t="n">
        <f aca="false">IF(J21&gt;0,T21^2,0)</f>
        <v>0</v>
      </c>
    </row>
    <row r="22" customFormat="false" ht="15" hidden="false" customHeight="false" outlineLevel="0" collapsed="false">
      <c r="A22" s="11" t="s">
        <v>58</v>
      </c>
      <c r="B22" s="11" t="n">
        <v>2023</v>
      </c>
      <c r="C22" s="11" t="n">
        <v>2017</v>
      </c>
      <c r="D22" s="11" t="n">
        <v>2024</v>
      </c>
      <c r="E22" s="1" t="n">
        <f aca="false">D22-B22</f>
        <v>1</v>
      </c>
      <c r="F22" s="1" t="n">
        <f aca="false">B22-C22+1</f>
        <v>7</v>
      </c>
      <c r="G22" s="1" t="n">
        <f aca="false">D22-C22+1</f>
        <v>8</v>
      </c>
      <c r="H22" s="8" t="n">
        <f aca="false">INDEX(Data!$B$3:$T$21,MATCH(C22,Data!$A$3:$A$21,0),MATCH(B22,Data!$B$2:$T$2,0))</f>
        <v>6410</v>
      </c>
      <c r="I22" s="8" t="n">
        <f aca="false">INDEX(Data!$B$25:$T$43,MATCH(C22,Data!$A$3:$A$21,0),MATCH(B22,Data!$B$2:$T$2,0))</f>
        <v>0</v>
      </c>
      <c r="J22" s="8" t="n">
        <f aca="false">H22+I22</f>
        <v>6410</v>
      </c>
      <c r="K22" s="3" t="n">
        <f aca="false">INDEX('pattern input'!$B$2:$AO$5,MATCH(A22&amp;"_"&amp;B22,'pattern input'!$A$2:$A$5,0),F22)</f>
        <v>0.900227498082865</v>
      </c>
      <c r="L22" s="3" t="n">
        <f aca="false">INDEX('pattern input'!$B$2:$AO$5,MATCH(A22&amp;"_"&amp;B22,'pattern input'!$A$2:$A$5,0),G22)</f>
        <v>0.914333694673512</v>
      </c>
      <c r="M22" s="8" t="n">
        <f aca="false">IF(K22&gt;=1,0,I22*(L22-INDEX('pattern input'!$B$2:$AO$5,MATCH(A22&amp;"_"&amp;B22,'pattern input'!$A$2:$A$5,0),G22-1))/(1-K22))</f>
        <v>0</v>
      </c>
      <c r="N22" s="8" t="n">
        <f aca="false">INDEX(Data!$B$3:$T$21,MATCH(C22,Data!$A$3:$A$21,0),MATCH(D22,Data!$B$2:$T$2,0))-INDEX(Data!$B$3:$T$21,MATCH(C22,Data!$A$3:$A$21,0),MATCH(D22-1,Data!$B$2:$T$2,0))</f>
        <v>0</v>
      </c>
      <c r="O22" s="9" t="n">
        <f aca="false">M22-N22</f>
        <v>0</v>
      </c>
      <c r="P22" s="8" t="n">
        <f aca="false">IF(K22&gt;=1,H22+I22,H22+I22*(L22-K22)/(1-K22))</f>
        <v>6410</v>
      </c>
      <c r="Q22" s="8" t="n">
        <f aca="false">INDEX(Data!$B$3:$T$21,MATCH(C22,Data!$A$3:$A$21,0),MATCH(D22,Data!$B$2:$T$2,0))</f>
        <v>6410</v>
      </c>
      <c r="R22" s="3" t="n">
        <f aca="false">IF(J22&gt;0,P22/J22,"")</f>
        <v>1</v>
      </c>
      <c r="S22" s="3" t="n">
        <f aca="false">IF(J22&gt;0,Q22/J22,"")</f>
        <v>1</v>
      </c>
      <c r="T22" s="6" t="n">
        <f aca="false">IF(J22&gt;0,R22-S22,"")</f>
        <v>0</v>
      </c>
      <c r="U22" s="1" t="s">
        <v>20</v>
      </c>
      <c r="V22" s="8" t="n">
        <f aca="false">ABS(O22)</f>
        <v>0</v>
      </c>
      <c r="W22" s="8" t="n">
        <f aca="false">O22^2</f>
        <v>0</v>
      </c>
      <c r="X22" s="12" t="n">
        <f aca="false">IF(M22&gt;0,O22^2/M22,0)</f>
        <v>0</v>
      </c>
      <c r="Y22" s="8" t="n">
        <f aca="false">IF(V22&lt;=Metrics!$C$3,0.5*O22^2,Metrics!$C$3*(V22-0.5*Metrics!$C$3))</f>
        <v>0</v>
      </c>
      <c r="Z22" s="8" t="n">
        <f aca="false">ABS(P22-Q22)</f>
        <v>0</v>
      </c>
      <c r="AA22" s="13" t="n">
        <f aca="false">IF(J22&gt;0,T22^2,0)</f>
        <v>0</v>
      </c>
    </row>
    <row r="23" customFormat="false" ht="15" hidden="false" customHeight="false" outlineLevel="0" collapsed="false">
      <c r="A23" s="11" t="s">
        <v>58</v>
      </c>
      <c r="B23" s="11" t="n">
        <v>2023</v>
      </c>
      <c r="C23" s="11" t="n">
        <v>2017</v>
      </c>
      <c r="D23" s="11" t="n">
        <v>2025</v>
      </c>
      <c r="E23" s="1" t="n">
        <f aca="false">D23-B23</f>
        <v>2</v>
      </c>
      <c r="F23" s="1" t="n">
        <f aca="false">B23-C23+1</f>
        <v>7</v>
      </c>
      <c r="G23" s="1" t="n">
        <f aca="false">D23-C23+1</f>
        <v>9</v>
      </c>
      <c r="H23" s="8" t="n">
        <f aca="false">INDEX(Data!$B$3:$T$21,MATCH(C23,Data!$A$3:$A$21,0),MATCH(B23,Data!$B$2:$T$2,0))</f>
        <v>6410</v>
      </c>
      <c r="I23" s="8" t="n">
        <f aca="false">INDEX(Data!$B$25:$T$43,MATCH(C23,Data!$A$3:$A$21,0),MATCH(B23,Data!$B$2:$T$2,0))</f>
        <v>0</v>
      </c>
      <c r="J23" s="8" t="n">
        <f aca="false">H23+I23</f>
        <v>6410</v>
      </c>
      <c r="K23" s="3" t="n">
        <f aca="false">INDEX('pattern input'!$B$2:$AO$5,MATCH(A23&amp;"_"&amp;B23,'pattern input'!$A$2:$A$5,0),F23)</f>
        <v>0.900227498082865</v>
      </c>
      <c r="L23" s="3" t="n">
        <f aca="false">INDEX('pattern input'!$B$2:$AO$5,MATCH(A23&amp;"_"&amp;B23,'pattern input'!$A$2:$A$5,0),G23)</f>
        <v>0.926776241878004</v>
      </c>
      <c r="M23" s="8" t="n">
        <f aca="false">IF(K23&gt;=1,0,I23*(L23-INDEX('pattern input'!$B$2:$AO$5,MATCH(A23&amp;"_"&amp;B23,'pattern input'!$A$2:$A$5,0),G23-1))/(1-K23))</f>
        <v>0</v>
      </c>
      <c r="N23" s="8" t="n">
        <f aca="false">INDEX(Data!$B$3:$T$21,MATCH(C23,Data!$A$3:$A$21,0),MATCH(D23,Data!$B$2:$T$2,0))-INDEX(Data!$B$3:$T$21,MATCH(C23,Data!$A$3:$A$21,0),MATCH(D23-1,Data!$B$2:$T$2,0))</f>
        <v>0</v>
      </c>
      <c r="O23" s="9" t="n">
        <f aca="false">M23-N23</f>
        <v>0</v>
      </c>
      <c r="P23" s="8" t="n">
        <f aca="false">IF(K23&gt;=1,H23+I23,H23+I23*(L23-K23)/(1-K23))</f>
        <v>6410</v>
      </c>
      <c r="Q23" s="8" t="n">
        <f aca="false">INDEX(Data!$B$3:$T$21,MATCH(C23,Data!$A$3:$A$21,0),MATCH(D23,Data!$B$2:$T$2,0))</f>
        <v>6410</v>
      </c>
      <c r="R23" s="3" t="n">
        <f aca="false">IF(J23&gt;0,P23/J23,"")</f>
        <v>1</v>
      </c>
      <c r="S23" s="3" t="n">
        <f aca="false">IF(J23&gt;0,Q23/J23,"")</f>
        <v>1</v>
      </c>
      <c r="T23" s="6" t="n">
        <f aca="false">IF(J23&gt;0,R23-S23,"")</f>
        <v>0</v>
      </c>
      <c r="U23" s="1" t="s">
        <v>20</v>
      </c>
      <c r="V23" s="8" t="n">
        <f aca="false">ABS(O23)</f>
        <v>0</v>
      </c>
      <c r="W23" s="8" t="n">
        <f aca="false">O23^2</f>
        <v>0</v>
      </c>
      <c r="X23" s="12" t="n">
        <f aca="false">IF(M23&gt;0,O23^2/M23,0)</f>
        <v>0</v>
      </c>
      <c r="Y23" s="8" t="n">
        <f aca="false">IF(V23&lt;=Metrics!$C$3,0.5*O23^2,Metrics!$C$3*(V23-0.5*Metrics!$C$3))</f>
        <v>0</v>
      </c>
      <c r="Z23" s="8" t="n">
        <f aca="false">ABS(P23-Q23)</f>
        <v>0</v>
      </c>
      <c r="AA23" s="13" t="n">
        <f aca="false">IF(J23&gt;0,T23^2,0)</f>
        <v>0</v>
      </c>
    </row>
    <row r="24" customFormat="false" ht="15" hidden="false" customHeight="false" outlineLevel="0" collapsed="false">
      <c r="A24" s="11" t="s">
        <v>58</v>
      </c>
      <c r="B24" s="11" t="n">
        <v>2023</v>
      </c>
      <c r="C24" s="11" t="n">
        <v>2018</v>
      </c>
      <c r="D24" s="11" t="n">
        <v>2024</v>
      </c>
      <c r="E24" s="1" t="n">
        <f aca="false">D24-B24</f>
        <v>1</v>
      </c>
      <c r="F24" s="1" t="n">
        <f aca="false">B24-C24+1</f>
        <v>6</v>
      </c>
      <c r="G24" s="1" t="n">
        <f aca="false">D24-C24+1</f>
        <v>7</v>
      </c>
      <c r="H24" s="8" t="n">
        <f aca="false">INDEX(Data!$B$3:$T$21,MATCH(C24,Data!$A$3:$A$21,0),MATCH(B24,Data!$B$2:$T$2,0))</f>
        <v>1613</v>
      </c>
      <c r="I24" s="8" t="n">
        <f aca="false">INDEX(Data!$B$25:$T$43,MATCH(C24,Data!$A$3:$A$21,0),MATCH(B24,Data!$B$2:$T$2,0))</f>
        <v>747</v>
      </c>
      <c r="J24" s="8" t="n">
        <f aca="false">H24+I24</f>
        <v>2360</v>
      </c>
      <c r="K24" s="3" t="n">
        <f aca="false">INDEX('pattern input'!$B$2:$AO$5,MATCH(A24&amp;"_"&amp;B24,'pattern input'!$A$2:$A$5,0),F24)</f>
        <v>0.88394308921476</v>
      </c>
      <c r="L24" s="3" t="n">
        <f aca="false">INDEX('pattern input'!$B$2:$AO$5,MATCH(A24&amp;"_"&amp;B24,'pattern input'!$A$2:$A$5,0),G24)</f>
        <v>0.900227498082865</v>
      </c>
      <c r="M24" s="8" t="n">
        <f aca="false">IF(K24&gt;=1,0,I24*(L24-INDEX('pattern input'!$B$2:$AO$5,MATCH(A24&amp;"_"&amp;B24,'pattern input'!$A$2:$A$5,0),G24-1))/(1-K24))</f>
        <v>104.814554705704</v>
      </c>
      <c r="N24" s="8" t="n">
        <f aca="false">INDEX(Data!$B$3:$T$21,MATCH(C24,Data!$A$3:$A$21,0),MATCH(D24,Data!$B$2:$T$2,0))-INDEX(Data!$B$3:$T$21,MATCH(C24,Data!$A$3:$A$21,0),MATCH(D24-1,Data!$B$2:$T$2,0))</f>
        <v>0</v>
      </c>
      <c r="O24" s="9" t="n">
        <f aca="false">M24-N24</f>
        <v>104.814554705704</v>
      </c>
      <c r="P24" s="8" t="n">
        <f aca="false">IF(K24&gt;=1,H24+I24,H24+I24*(L24-K24)/(1-K24))</f>
        <v>1717.8145547057</v>
      </c>
      <c r="Q24" s="8" t="n">
        <f aca="false">INDEX(Data!$B$3:$T$21,MATCH(C24,Data!$A$3:$A$21,0),MATCH(D24,Data!$B$2:$T$2,0))</f>
        <v>1613</v>
      </c>
      <c r="R24" s="3" t="n">
        <f aca="false">IF(J24&gt;0,P24/J24,"")</f>
        <v>0.727887523180383</v>
      </c>
      <c r="S24" s="3" t="n">
        <f aca="false">IF(J24&gt;0,Q24/J24,"")</f>
        <v>0.683474576271187</v>
      </c>
      <c r="T24" s="6" t="n">
        <f aca="false">IF(J24&gt;0,R24-S24,"")</f>
        <v>0.0444129469091966</v>
      </c>
      <c r="U24" s="1" t="s">
        <v>20</v>
      </c>
      <c r="V24" s="8" t="n">
        <f aca="false">ABS(O24)</f>
        <v>104.814554705704</v>
      </c>
      <c r="W24" s="8" t="n">
        <f aca="false">O24^2</f>
        <v>10986.090878155</v>
      </c>
      <c r="X24" s="12" t="n">
        <f aca="false">IF(M24&gt;0,O24^2/M24,0)</f>
        <v>104.814554705704</v>
      </c>
      <c r="Y24" s="8" t="n">
        <f aca="false">IF(V24&lt;=Metrics!$C$3,0.5*O24^2,Metrics!$C$3*(V24-0.5*Metrics!$C$3))</f>
        <v>5493.0454390775</v>
      </c>
      <c r="Z24" s="8" t="n">
        <f aca="false">ABS(P24-Q24)</f>
        <v>104.814554705704</v>
      </c>
      <c r="AA24" s="13" t="n">
        <f aca="false">IF(J24&gt;0,T24^2,0)</f>
        <v>0.00197250985315912</v>
      </c>
    </row>
    <row r="25" customFormat="false" ht="15" hidden="false" customHeight="false" outlineLevel="0" collapsed="false">
      <c r="A25" s="11" t="s">
        <v>58</v>
      </c>
      <c r="B25" s="11" t="n">
        <v>2023</v>
      </c>
      <c r="C25" s="11" t="n">
        <v>2018</v>
      </c>
      <c r="D25" s="11" t="n">
        <v>2025</v>
      </c>
      <c r="E25" s="1" t="n">
        <f aca="false">D25-B25</f>
        <v>2</v>
      </c>
      <c r="F25" s="1" t="n">
        <f aca="false">B25-C25+1</f>
        <v>6</v>
      </c>
      <c r="G25" s="1" t="n">
        <f aca="false">D25-C25+1</f>
        <v>8</v>
      </c>
      <c r="H25" s="8" t="n">
        <f aca="false">INDEX(Data!$B$3:$T$21,MATCH(C25,Data!$A$3:$A$21,0),MATCH(B25,Data!$B$2:$T$2,0))</f>
        <v>1613</v>
      </c>
      <c r="I25" s="8" t="n">
        <f aca="false">INDEX(Data!$B$25:$T$43,MATCH(C25,Data!$A$3:$A$21,0),MATCH(B25,Data!$B$2:$T$2,0))</f>
        <v>747</v>
      </c>
      <c r="J25" s="8" t="n">
        <f aca="false">H25+I25</f>
        <v>2360</v>
      </c>
      <c r="K25" s="3" t="n">
        <f aca="false">INDEX('pattern input'!$B$2:$AO$5,MATCH(A25&amp;"_"&amp;B25,'pattern input'!$A$2:$A$5,0),F25)</f>
        <v>0.88394308921476</v>
      </c>
      <c r="L25" s="3" t="n">
        <f aca="false">INDEX('pattern input'!$B$2:$AO$5,MATCH(A25&amp;"_"&amp;B25,'pattern input'!$A$2:$A$5,0),G25)</f>
        <v>0.914333694673512</v>
      </c>
      <c r="M25" s="8" t="n">
        <f aca="false">IF(K25&gt;=1,0,I25*(L25-INDEX('pattern input'!$B$2:$AO$5,MATCH(A25&amp;"_"&amp;B25,'pattern input'!$A$2:$A$5,0),G25-1))/(1-K25))</f>
        <v>90.7944971300536</v>
      </c>
      <c r="N25" s="8" t="n">
        <f aca="false">INDEX(Data!$B$3:$T$21,MATCH(C25,Data!$A$3:$A$21,0),MATCH(D25,Data!$B$2:$T$2,0))-INDEX(Data!$B$3:$T$21,MATCH(C25,Data!$A$3:$A$21,0),MATCH(D25-1,Data!$B$2:$T$2,0))</f>
        <v>0</v>
      </c>
      <c r="O25" s="9" t="n">
        <f aca="false">M25-N25</f>
        <v>90.7944971300536</v>
      </c>
      <c r="P25" s="8" t="n">
        <f aca="false">IF(K25&gt;=1,H25+I25,H25+I25*(L25-K25)/(1-K25))</f>
        <v>1808.60905183576</v>
      </c>
      <c r="Q25" s="8" t="n">
        <f aca="false">INDEX(Data!$B$3:$T$21,MATCH(C25,Data!$A$3:$A$21,0),MATCH(D25,Data!$B$2:$T$2,0))</f>
        <v>1613</v>
      </c>
      <c r="R25" s="3" t="n">
        <f aca="false">IF(J25&gt;0,P25/J25,"")</f>
        <v>0.766359767727016</v>
      </c>
      <c r="S25" s="3" t="n">
        <f aca="false">IF(J25&gt;0,Q25/J25,"")</f>
        <v>0.683474576271187</v>
      </c>
      <c r="T25" s="6" t="n">
        <f aca="false">IF(J25&gt;0,R25-S25,"")</f>
        <v>0.0828851914558294</v>
      </c>
      <c r="U25" s="1" t="s">
        <v>20</v>
      </c>
      <c r="V25" s="8" t="n">
        <f aca="false">ABS(O25)</f>
        <v>90.7944971300536</v>
      </c>
      <c r="W25" s="8" t="n">
        <f aca="false">O25^2</f>
        <v>8243.64070909931</v>
      </c>
      <c r="X25" s="12" t="n">
        <f aca="false">IF(M25&gt;0,O25^2/M25,0)</f>
        <v>90.7944971300536</v>
      </c>
      <c r="Y25" s="8" t="n">
        <f aca="false">IF(V25&lt;=Metrics!$C$3,0.5*O25^2,Metrics!$C$3*(V25-0.5*Metrics!$C$3))</f>
        <v>4121.82035454966</v>
      </c>
      <c r="Z25" s="8" t="n">
        <f aca="false">ABS(P25-Q25)</f>
        <v>195.609051835758</v>
      </c>
      <c r="AA25" s="13" t="n">
        <f aca="false">IF(J25&gt;0,T25^2,0)</f>
        <v>0.0068699549626695</v>
      </c>
    </row>
    <row r="26" customFormat="false" ht="15" hidden="false" customHeight="false" outlineLevel="0" collapsed="false">
      <c r="A26" s="11" t="s">
        <v>58</v>
      </c>
      <c r="B26" s="11" t="n">
        <v>2023</v>
      </c>
      <c r="C26" s="11" t="n">
        <v>2019</v>
      </c>
      <c r="D26" s="11" t="n">
        <v>2024</v>
      </c>
      <c r="E26" s="1" t="n">
        <f aca="false">D26-B26</f>
        <v>1</v>
      </c>
      <c r="F26" s="1" t="n">
        <f aca="false">B26-C26+1</f>
        <v>5</v>
      </c>
      <c r="G26" s="1" t="n">
        <f aca="false">D26-C26+1</f>
        <v>6</v>
      </c>
      <c r="H26" s="8" t="n">
        <f aca="false">INDEX(Data!$B$3:$T$21,MATCH(C26,Data!$A$3:$A$21,0),MATCH(B26,Data!$B$2:$T$2,0))</f>
        <v>28896</v>
      </c>
      <c r="I26" s="8" t="n">
        <f aca="false">INDEX(Data!$B$25:$T$43,MATCH(C26,Data!$A$3:$A$21,0),MATCH(B26,Data!$B$2:$T$2,0))</f>
        <v>1692</v>
      </c>
      <c r="J26" s="8" t="n">
        <f aca="false">H26+I26</f>
        <v>30588</v>
      </c>
      <c r="K26" s="3" t="n">
        <f aca="false">INDEX('pattern input'!$B$2:$AO$5,MATCH(A26&amp;"_"&amp;B26,'pattern input'!$A$2:$A$5,0),F26)</f>
        <v>0.864682721504224</v>
      </c>
      <c r="L26" s="3" t="n">
        <f aca="false">INDEX('pattern input'!$B$2:$AO$5,MATCH(A26&amp;"_"&amp;B26,'pattern input'!$A$2:$A$5,0),G26)</f>
        <v>0.88394308921476</v>
      </c>
      <c r="M26" s="8" t="n">
        <f aca="false">IF(K26&gt;=1,0,I26*(L26-INDEX('pattern input'!$B$2:$AO$5,MATCH(A26&amp;"_"&amp;B26,'pattern input'!$A$2:$A$5,0),G26-1))/(1-K26))</f>
        <v>240.830605880424</v>
      </c>
      <c r="N26" s="8" t="n">
        <f aca="false">INDEX(Data!$B$3:$T$21,MATCH(C26,Data!$A$3:$A$21,0),MATCH(D26,Data!$B$2:$T$2,0))-INDEX(Data!$B$3:$T$21,MATCH(C26,Data!$A$3:$A$21,0),MATCH(D26-1,Data!$B$2:$T$2,0))</f>
        <v>0</v>
      </c>
      <c r="O26" s="9" t="n">
        <f aca="false">M26-N26</f>
        <v>240.830605880424</v>
      </c>
      <c r="P26" s="8" t="n">
        <f aca="false">IF(K26&gt;=1,H26+I26,H26+I26*(L26-K26)/(1-K26))</f>
        <v>29136.8306058804</v>
      </c>
      <c r="Q26" s="8" t="n">
        <f aca="false">INDEX(Data!$B$3:$T$21,MATCH(C26,Data!$A$3:$A$21,0),MATCH(D26,Data!$B$2:$T$2,0))</f>
        <v>28896</v>
      </c>
      <c r="R26" s="3" t="n">
        <f aca="false">IF(J26&gt;0,P26/J26,"")</f>
        <v>0.952557558711927</v>
      </c>
      <c r="S26" s="3" t="n">
        <f aca="false">IF(J26&gt;0,Q26/J26,"")</f>
        <v>0.944684189878384</v>
      </c>
      <c r="T26" s="6" t="n">
        <f aca="false">IF(J26&gt;0,R26-S26,"")</f>
        <v>0.00787336883354339</v>
      </c>
      <c r="U26" s="1" t="s">
        <v>20</v>
      </c>
      <c r="V26" s="8" t="n">
        <f aca="false">ABS(O26)</f>
        <v>240.830605880424</v>
      </c>
      <c r="W26" s="8" t="n">
        <f aca="false">O26^2</f>
        <v>57999.3807287324</v>
      </c>
      <c r="X26" s="12" t="n">
        <f aca="false">IF(M26&gt;0,O26^2/M26,0)</f>
        <v>240.830605880424</v>
      </c>
      <c r="Y26" s="8" t="n">
        <f aca="false">IF(V26&lt;=Metrics!$C$3,0.5*O26^2,Metrics!$C$3*(V26-0.5*Metrics!$C$3))</f>
        <v>28999.6903643662</v>
      </c>
      <c r="Z26" s="8" t="n">
        <f aca="false">ABS(P26-Q26)</f>
        <v>240.830605880423</v>
      </c>
      <c r="AA26" s="13" t="n">
        <f aca="false">IF(J26&gt;0,T26^2,0)</f>
        <v>6.19899367890124E-005</v>
      </c>
    </row>
    <row r="27" customFormat="false" ht="15" hidden="false" customHeight="false" outlineLevel="0" collapsed="false">
      <c r="A27" s="11" t="s">
        <v>58</v>
      </c>
      <c r="B27" s="11" t="n">
        <v>2023</v>
      </c>
      <c r="C27" s="11" t="n">
        <v>2019</v>
      </c>
      <c r="D27" s="11" t="n">
        <v>2025</v>
      </c>
      <c r="E27" s="1" t="n">
        <f aca="false">D27-B27</f>
        <v>2</v>
      </c>
      <c r="F27" s="1" t="n">
        <f aca="false">B27-C27+1</f>
        <v>5</v>
      </c>
      <c r="G27" s="1" t="n">
        <f aca="false">D27-C27+1</f>
        <v>7</v>
      </c>
      <c r="H27" s="8" t="n">
        <f aca="false">INDEX(Data!$B$3:$T$21,MATCH(C27,Data!$A$3:$A$21,0),MATCH(B27,Data!$B$2:$T$2,0))</f>
        <v>28896</v>
      </c>
      <c r="I27" s="8" t="n">
        <f aca="false">INDEX(Data!$B$25:$T$43,MATCH(C27,Data!$A$3:$A$21,0),MATCH(B27,Data!$B$2:$T$2,0))</f>
        <v>1692</v>
      </c>
      <c r="J27" s="8" t="n">
        <f aca="false">H27+I27</f>
        <v>30588</v>
      </c>
      <c r="K27" s="3" t="n">
        <f aca="false">INDEX('pattern input'!$B$2:$AO$5,MATCH(A27&amp;"_"&amp;B27,'pattern input'!$A$2:$A$5,0),F27)</f>
        <v>0.864682721504224</v>
      </c>
      <c r="L27" s="3" t="n">
        <f aca="false">INDEX('pattern input'!$B$2:$AO$5,MATCH(A27&amp;"_"&amp;B27,'pattern input'!$A$2:$A$5,0),G27)</f>
        <v>0.900227498082865</v>
      </c>
      <c r="M27" s="8" t="n">
        <f aca="false">IF(K27&gt;=1,0,I27*(L27-INDEX('pattern input'!$B$2:$AO$5,MATCH(A27&amp;"_"&amp;B27,'pattern input'!$A$2:$A$5,0),G27-1))/(1-K27))</f>
        <v>203.619375966786</v>
      </c>
      <c r="N27" s="8" t="n">
        <f aca="false">INDEX(Data!$B$3:$T$21,MATCH(C27,Data!$A$3:$A$21,0),MATCH(D27,Data!$B$2:$T$2,0))-INDEX(Data!$B$3:$T$21,MATCH(C27,Data!$A$3:$A$21,0),MATCH(D27-1,Data!$B$2:$T$2,0))</f>
        <v>0</v>
      </c>
      <c r="O27" s="9" t="n">
        <f aca="false">M27-N27</f>
        <v>203.619375966786</v>
      </c>
      <c r="P27" s="8" t="n">
        <f aca="false">IF(K27&gt;=1,H27+I27,H27+I27*(L27-K27)/(1-K27))</f>
        <v>29340.4499818472</v>
      </c>
      <c r="Q27" s="8" t="n">
        <f aca="false">INDEX(Data!$B$3:$T$21,MATCH(C27,Data!$A$3:$A$21,0),MATCH(D27,Data!$B$2:$T$2,0))</f>
        <v>28896</v>
      </c>
      <c r="R27" s="3" t="n">
        <f aca="false">IF(J27&gt;0,P27/J27,"")</f>
        <v>0.959214397209599</v>
      </c>
      <c r="S27" s="3" t="n">
        <f aca="false">IF(J27&gt;0,Q27/J27,"")</f>
        <v>0.944684189878384</v>
      </c>
      <c r="T27" s="6" t="n">
        <f aca="false">IF(J27&gt;0,R27-S27,"")</f>
        <v>0.0145302073312152</v>
      </c>
      <c r="U27" s="1" t="s">
        <v>20</v>
      </c>
      <c r="V27" s="8" t="n">
        <f aca="false">ABS(O27)</f>
        <v>203.619375966786</v>
      </c>
      <c r="W27" s="8" t="n">
        <f aca="false">O27^2</f>
        <v>41460.8502691035</v>
      </c>
      <c r="X27" s="12" t="n">
        <f aca="false">IF(M27&gt;0,O27^2/M27,0)</f>
        <v>203.619375966786</v>
      </c>
      <c r="Y27" s="8" t="n">
        <f aca="false">IF(V27&lt;=Metrics!$C$3,0.5*O27^2,Metrics!$C$3*(V27-0.5*Metrics!$C$3))</f>
        <v>20730.4251345518</v>
      </c>
      <c r="Z27" s="8" t="n">
        <f aca="false">ABS(P27-Q27)</f>
        <v>444.44998184721</v>
      </c>
      <c r="AA27" s="13" t="n">
        <f aca="false">IF(J27&gt;0,T27^2,0)</f>
        <v>0.000211126925088101</v>
      </c>
    </row>
    <row r="28" customFormat="false" ht="15" hidden="false" customHeight="false" outlineLevel="0" collapsed="false">
      <c r="A28" s="11" t="s">
        <v>58</v>
      </c>
      <c r="B28" s="11" t="n">
        <v>2023</v>
      </c>
      <c r="C28" s="11" t="n">
        <v>2020</v>
      </c>
      <c r="D28" s="11" t="n">
        <v>2024</v>
      </c>
      <c r="E28" s="1" t="n">
        <f aca="false">D28-B28</f>
        <v>1</v>
      </c>
      <c r="F28" s="1" t="n">
        <f aca="false">B28-C28+1</f>
        <v>4</v>
      </c>
      <c r="G28" s="1" t="n">
        <f aca="false">D28-C28+1</f>
        <v>5</v>
      </c>
      <c r="H28" s="8" t="n">
        <f aca="false">INDEX(Data!$B$3:$T$21,MATCH(C28,Data!$A$3:$A$21,0),MATCH(B28,Data!$B$2:$T$2,0))</f>
        <v>99635</v>
      </c>
      <c r="I28" s="8" t="n">
        <f aca="false">INDEX(Data!$B$25:$T$43,MATCH(C28,Data!$A$3:$A$21,0),MATCH(B28,Data!$B$2:$T$2,0))</f>
        <v>43801</v>
      </c>
      <c r="J28" s="8" t="n">
        <f aca="false">H28+I28</f>
        <v>143436</v>
      </c>
      <c r="K28" s="3" t="n">
        <f aca="false">INDEX('pattern input'!$B$2:$AO$5,MATCH(A28&amp;"_"&amp;B28,'pattern input'!$A$2:$A$5,0),F28)</f>
        <v>0.703600031559663</v>
      </c>
      <c r="L28" s="3" t="n">
        <f aca="false">INDEX('pattern input'!$B$2:$AO$5,MATCH(A28&amp;"_"&amp;B28,'pattern input'!$A$2:$A$5,0),G28)</f>
        <v>0.864682721504224</v>
      </c>
      <c r="M28" s="8" t="n">
        <f aca="false">IF(K28&gt;=1,0,I28*(L28-INDEX('pattern input'!$B$2:$AO$5,MATCH(A28&amp;"_"&amp;B28,'pattern input'!$A$2:$A$5,0),G28-1))/(1-K28))</f>
        <v>23804.2633384488</v>
      </c>
      <c r="N28" s="8" t="n">
        <f aca="false">INDEX(Data!$B$3:$T$21,MATCH(C28,Data!$A$3:$A$21,0),MATCH(D28,Data!$B$2:$T$2,0))-INDEX(Data!$B$3:$T$21,MATCH(C28,Data!$A$3:$A$21,0),MATCH(D28-1,Data!$B$2:$T$2,0))</f>
        <v>0</v>
      </c>
      <c r="O28" s="9" t="n">
        <f aca="false">M28-N28</f>
        <v>23804.2633384488</v>
      </c>
      <c r="P28" s="8" t="n">
        <f aca="false">IF(K28&gt;=1,H28+I28,H28+I28*(L28-K28)/(1-K28))</f>
        <v>123439.263338449</v>
      </c>
      <c r="Q28" s="8" t="n">
        <f aca="false">INDEX(Data!$B$3:$T$21,MATCH(C28,Data!$A$3:$A$21,0),MATCH(D28,Data!$B$2:$T$2,0))</f>
        <v>99635</v>
      </c>
      <c r="R28" s="3" t="n">
        <f aca="false">IF(J28&gt;0,P28/J28,"")</f>
        <v>0.860587741839209</v>
      </c>
      <c r="S28" s="3" t="n">
        <f aca="false">IF(J28&gt;0,Q28/J28,"")</f>
        <v>0.694630357790234</v>
      </c>
      <c r="T28" s="6" t="n">
        <f aca="false">IF(J28&gt;0,R28-S28,"")</f>
        <v>0.165957384048975</v>
      </c>
      <c r="U28" s="1" t="s">
        <v>20</v>
      </c>
      <c r="V28" s="8" t="n">
        <f aca="false">ABS(O28)</f>
        <v>23804.2633384488</v>
      </c>
      <c r="W28" s="8" t="n">
        <f aca="false">O28^2</f>
        <v>566642953.086216</v>
      </c>
      <c r="X28" s="12" t="n">
        <f aca="false">IF(M28&gt;0,O28^2/M28,0)</f>
        <v>23804.2633384488</v>
      </c>
      <c r="Y28" s="8" t="n">
        <f aca="false">IF(V28&lt;=Metrics!$C$3,0.5*O28^2,Metrics!$C$3*(V28-0.5*Metrics!$C$3))</f>
        <v>188042633.384488</v>
      </c>
      <c r="Z28" s="8" t="n">
        <f aca="false">ABS(P28-Q28)</f>
        <v>23804.2633384488</v>
      </c>
      <c r="AA28" s="13" t="n">
        <f aca="false">IF(J28&gt;0,T28^2,0)</f>
        <v>0.027541853320379</v>
      </c>
    </row>
    <row r="29" customFormat="false" ht="15" hidden="false" customHeight="false" outlineLevel="0" collapsed="false">
      <c r="A29" s="11" t="s">
        <v>58</v>
      </c>
      <c r="B29" s="11" t="n">
        <v>2023</v>
      </c>
      <c r="C29" s="11" t="n">
        <v>2020</v>
      </c>
      <c r="D29" s="11" t="n">
        <v>2025</v>
      </c>
      <c r="E29" s="1" t="n">
        <f aca="false">D29-B29</f>
        <v>2</v>
      </c>
      <c r="F29" s="1" t="n">
        <f aca="false">B29-C29+1</f>
        <v>4</v>
      </c>
      <c r="G29" s="1" t="n">
        <f aca="false">D29-C29+1</f>
        <v>6</v>
      </c>
      <c r="H29" s="8" t="n">
        <f aca="false">INDEX(Data!$B$3:$T$21,MATCH(C29,Data!$A$3:$A$21,0),MATCH(B29,Data!$B$2:$T$2,0))</f>
        <v>99635</v>
      </c>
      <c r="I29" s="8" t="n">
        <f aca="false">INDEX(Data!$B$25:$T$43,MATCH(C29,Data!$A$3:$A$21,0),MATCH(B29,Data!$B$2:$T$2,0))</f>
        <v>43801</v>
      </c>
      <c r="J29" s="8" t="n">
        <f aca="false">H29+I29</f>
        <v>143436</v>
      </c>
      <c r="K29" s="3" t="n">
        <f aca="false">INDEX('pattern input'!$B$2:$AO$5,MATCH(A29&amp;"_"&amp;B29,'pattern input'!$A$2:$A$5,0),F29)</f>
        <v>0.703600031559663</v>
      </c>
      <c r="L29" s="3" t="n">
        <f aca="false">INDEX('pattern input'!$B$2:$AO$5,MATCH(A29&amp;"_"&amp;B29,'pattern input'!$A$2:$A$5,0),G29)</f>
        <v>0.88394308921476</v>
      </c>
      <c r="M29" s="8" t="n">
        <f aca="false">IF(K29&gt;=1,0,I29*(L29-INDEX('pattern input'!$B$2:$AO$5,MATCH(A29&amp;"_"&amp;B29,'pattern input'!$A$2:$A$5,0),G29-1))/(1-K29))</f>
        <v>2846.23298217061</v>
      </c>
      <c r="N29" s="8" t="n">
        <f aca="false">INDEX(Data!$B$3:$T$21,MATCH(C29,Data!$A$3:$A$21,0),MATCH(D29,Data!$B$2:$T$2,0))-INDEX(Data!$B$3:$T$21,MATCH(C29,Data!$A$3:$A$21,0),MATCH(D29-1,Data!$B$2:$T$2,0))</f>
        <v>0</v>
      </c>
      <c r="O29" s="9" t="n">
        <f aca="false">M29-N29</f>
        <v>2846.23298217061</v>
      </c>
      <c r="P29" s="8" t="n">
        <f aca="false">IF(K29&gt;=1,H29+I29,H29+I29*(L29-K29)/(1-K29))</f>
        <v>126285.496320619</v>
      </c>
      <c r="Q29" s="8" t="n">
        <f aca="false">INDEX(Data!$B$3:$T$21,MATCH(C29,Data!$A$3:$A$21,0),MATCH(D29,Data!$B$2:$T$2,0))</f>
        <v>99635</v>
      </c>
      <c r="R29" s="3" t="n">
        <f aca="false">IF(J29&gt;0,P29/J29,"")</f>
        <v>0.880430967962153</v>
      </c>
      <c r="S29" s="3" t="n">
        <f aca="false">IF(J29&gt;0,Q29/J29,"")</f>
        <v>0.694630357790234</v>
      </c>
      <c r="T29" s="6" t="n">
        <f aca="false">IF(J29&gt;0,R29-S29,"")</f>
        <v>0.185800610171919</v>
      </c>
      <c r="U29" s="1" t="s">
        <v>20</v>
      </c>
      <c r="V29" s="8" t="n">
        <f aca="false">ABS(O29)</f>
        <v>2846.23298217061</v>
      </c>
      <c r="W29" s="8" t="n">
        <f aca="false">O29^2</f>
        <v>8101042.18879583</v>
      </c>
      <c r="X29" s="12" t="n">
        <f aca="false">IF(M29&gt;0,O29^2/M29,0)</f>
        <v>2846.23298217061</v>
      </c>
      <c r="Y29" s="8" t="n">
        <f aca="false">IF(V29&lt;=Metrics!$C$3,0.5*O29^2,Metrics!$C$3*(V29-0.5*Metrics!$C$3))</f>
        <v>4050521.09439791</v>
      </c>
      <c r="Z29" s="8" t="n">
        <f aca="false">ABS(P29-Q29)</f>
        <v>26650.4963206194</v>
      </c>
      <c r="AA29" s="13" t="n">
        <f aca="false">IF(J29&gt;0,T29^2,0)</f>
        <v>0.0345218667402575</v>
      </c>
    </row>
    <row r="30" customFormat="false" ht="15" hidden="false" customHeight="false" outlineLevel="0" collapsed="false">
      <c r="A30" s="11" t="s">
        <v>58</v>
      </c>
      <c r="B30" s="11" t="n">
        <v>2023</v>
      </c>
      <c r="C30" s="11" t="n">
        <v>2021</v>
      </c>
      <c r="D30" s="11" t="n">
        <v>2024</v>
      </c>
      <c r="E30" s="1" t="n">
        <f aca="false">D30-B30</f>
        <v>1</v>
      </c>
      <c r="F30" s="1" t="n">
        <f aca="false">B30-C30+1</f>
        <v>3</v>
      </c>
      <c r="G30" s="1" t="n">
        <f aca="false">D30-C30+1</f>
        <v>4</v>
      </c>
      <c r="H30" s="8" t="n">
        <f aca="false">INDEX(Data!$B$3:$T$21,MATCH(C30,Data!$A$3:$A$21,0),MATCH(B30,Data!$B$2:$T$2,0))</f>
        <v>115040</v>
      </c>
      <c r="I30" s="8" t="n">
        <f aca="false">INDEX(Data!$B$25:$T$43,MATCH(C30,Data!$A$3:$A$21,0),MATCH(B30,Data!$B$2:$T$2,0))</f>
        <v>88605</v>
      </c>
      <c r="J30" s="8" t="n">
        <f aca="false">H30+I30</f>
        <v>203645</v>
      </c>
      <c r="K30" s="3" t="n">
        <f aca="false">INDEX('pattern input'!$B$2:$AO$5,MATCH(A30&amp;"_"&amp;B30,'pattern input'!$A$2:$A$5,0),F30)</f>
        <v>0.610582494696767</v>
      </c>
      <c r="L30" s="3" t="n">
        <f aca="false">INDEX('pattern input'!$B$2:$AO$5,MATCH(A30&amp;"_"&amp;B30,'pattern input'!$A$2:$A$5,0),G30)</f>
        <v>0.703600031559663</v>
      </c>
      <c r="M30" s="8" t="n">
        <f aca="false">IF(K30&gt;=1,0,I30*(L30-INDEX('pattern input'!$B$2:$AO$5,MATCH(A30&amp;"_"&amp;B30,'pattern input'!$A$2:$A$5,0),G30-1))/(1-K30))</f>
        <v>21164.4796176258</v>
      </c>
      <c r="N30" s="8" t="n">
        <f aca="false">INDEX(Data!$B$3:$T$21,MATCH(C30,Data!$A$3:$A$21,0),MATCH(D30,Data!$B$2:$T$2,0))-INDEX(Data!$B$3:$T$21,MATCH(C30,Data!$A$3:$A$21,0),MATCH(D30-1,Data!$B$2:$T$2,0))</f>
        <v>0</v>
      </c>
      <c r="O30" s="9" t="n">
        <f aca="false">M30-N30</f>
        <v>21164.4796176258</v>
      </c>
      <c r="P30" s="8" t="n">
        <f aca="false">IF(K30&gt;=1,H30+I30,H30+I30*(L30-K30)/(1-K30))</f>
        <v>136204.479617626</v>
      </c>
      <c r="Q30" s="8" t="n">
        <f aca="false">INDEX(Data!$B$3:$T$21,MATCH(C30,Data!$A$3:$A$21,0),MATCH(D30,Data!$B$2:$T$2,0))</f>
        <v>115040</v>
      </c>
      <c r="R30" s="3" t="n">
        <f aca="false">IF(J30&gt;0,P30/J30,"")</f>
        <v>0.668832918154758</v>
      </c>
      <c r="S30" s="3" t="n">
        <f aca="false">IF(J30&gt;0,Q30/J30,"")</f>
        <v>0.564904613420413</v>
      </c>
      <c r="T30" s="6" t="n">
        <f aca="false">IF(J30&gt;0,R30-S30,"")</f>
        <v>0.103928304734345</v>
      </c>
      <c r="U30" s="1" t="s">
        <v>20</v>
      </c>
      <c r="V30" s="8" t="n">
        <f aca="false">ABS(O30)</f>
        <v>21164.4796176258</v>
      </c>
      <c r="W30" s="8" t="n">
        <f aca="false">O30^2</f>
        <v>447935197.484896</v>
      </c>
      <c r="X30" s="12" t="n">
        <f aca="false">IF(M30&gt;0,O30^2/M30,0)</f>
        <v>21164.4796176258</v>
      </c>
      <c r="Y30" s="8" t="n">
        <f aca="false">IF(V30&lt;=Metrics!$C$3,0.5*O30^2,Metrics!$C$3*(V30-0.5*Metrics!$C$3))</f>
        <v>161644796.176258</v>
      </c>
      <c r="Z30" s="8" t="n">
        <f aca="false">ABS(P30-Q30)</f>
        <v>21164.4796176258</v>
      </c>
      <c r="AA30" s="13" t="n">
        <f aca="false">IF(J30&gt;0,T30^2,0)</f>
        <v>0.0108010925249549</v>
      </c>
    </row>
    <row r="31" customFormat="false" ht="15" hidden="false" customHeight="false" outlineLevel="0" collapsed="false">
      <c r="A31" s="11" t="s">
        <v>58</v>
      </c>
      <c r="B31" s="11" t="n">
        <v>2023</v>
      </c>
      <c r="C31" s="11" t="n">
        <v>2021</v>
      </c>
      <c r="D31" s="11" t="n">
        <v>2025</v>
      </c>
      <c r="E31" s="1" t="n">
        <f aca="false">D31-B31</f>
        <v>2</v>
      </c>
      <c r="F31" s="1" t="n">
        <f aca="false">B31-C31+1</f>
        <v>3</v>
      </c>
      <c r="G31" s="1" t="n">
        <f aca="false">D31-C31+1</f>
        <v>5</v>
      </c>
      <c r="H31" s="8" t="n">
        <f aca="false">INDEX(Data!$B$3:$T$21,MATCH(C31,Data!$A$3:$A$21,0),MATCH(B31,Data!$B$2:$T$2,0))</f>
        <v>115040</v>
      </c>
      <c r="I31" s="8" t="n">
        <f aca="false">INDEX(Data!$B$25:$T$43,MATCH(C31,Data!$A$3:$A$21,0),MATCH(B31,Data!$B$2:$T$2,0))</f>
        <v>88605</v>
      </c>
      <c r="J31" s="8" t="n">
        <f aca="false">H31+I31</f>
        <v>203645</v>
      </c>
      <c r="K31" s="3" t="n">
        <f aca="false">INDEX('pattern input'!$B$2:$AO$5,MATCH(A31&amp;"_"&amp;B31,'pattern input'!$A$2:$A$5,0),F31)</f>
        <v>0.610582494696767</v>
      </c>
      <c r="L31" s="3" t="n">
        <f aca="false">INDEX('pattern input'!$B$2:$AO$5,MATCH(A31&amp;"_"&amp;B31,'pattern input'!$A$2:$A$5,0),G31)</f>
        <v>0.864682721504224</v>
      </c>
      <c r="M31" s="8" t="n">
        <f aca="false">IF(K31&gt;=1,0,I31*(L31-INDEX('pattern input'!$B$2:$AO$5,MATCH(A31&amp;"_"&amp;B31,'pattern input'!$A$2:$A$5,0),G31-1))/(1-K31))</f>
        <v>36651.4898487263</v>
      </c>
      <c r="N31" s="8" t="n">
        <f aca="false">INDEX(Data!$B$3:$T$21,MATCH(C31,Data!$A$3:$A$21,0),MATCH(D31,Data!$B$2:$T$2,0))-INDEX(Data!$B$3:$T$21,MATCH(C31,Data!$A$3:$A$21,0),MATCH(D31-1,Data!$B$2:$T$2,0))</f>
        <v>0</v>
      </c>
      <c r="O31" s="9" t="n">
        <f aca="false">M31-N31</f>
        <v>36651.4898487263</v>
      </c>
      <c r="P31" s="8" t="n">
        <f aca="false">IF(K31&gt;=1,H31+I31,H31+I31*(L31-K31)/(1-K31))</f>
        <v>172855.969466352</v>
      </c>
      <c r="Q31" s="8" t="n">
        <f aca="false">INDEX(Data!$B$3:$T$21,MATCH(C31,Data!$A$3:$A$21,0),MATCH(D31,Data!$B$2:$T$2,0))</f>
        <v>115040</v>
      </c>
      <c r="R31" s="3" t="n">
        <f aca="false">IF(J31&gt;0,P31/J31,"")</f>
        <v>0.84881027997914</v>
      </c>
      <c r="S31" s="3" t="n">
        <f aca="false">IF(J31&gt;0,Q31/J31,"")</f>
        <v>0.564904613420413</v>
      </c>
      <c r="T31" s="6" t="n">
        <f aca="false">IF(J31&gt;0,R31-S31,"")</f>
        <v>0.283905666558727</v>
      </c>
      <c r="U31" s="1" t="s">
        <v>20</v>
      </c>
      <c r="V31" s="8" t="n">
        <f aca="false">ABS(O31)</f>
        <v>36651.4898487263</v>
      </c>
      <c r="W31" s="8" t="n">
        <f aca="false">O31^2</f>
        <v>1343331708.13128</v>
      </c>
      <c r="X31" s="12" t="n">
        <f aca="false">IF(M31&gt;0,O31^2/M31,0)</f>
        <v>36651.4898487263</v>
      </c>
      <c r="Y31" s="8" t="n">
        <f aca="false">IF(V31&lt;=Metrics!$C$3,0.5*O31^2,Metrics!$C$3*(V31-0.5*Metrics!$C$3))</f>
        <v>316514898.487263</v>
      </c>
      <c r="Z31" s="8" t="n">
        <f aca="false">ABS(P31-Q31)</f>
        <v>57815.969466352</v>
      </c>
      <c r="AA31" s="13" t="n">
        <f aca="false">IF(J31&gt;0,T31^2,0)</f>
        <v>0.0806024275041552</v>
      </c>
    </row>
    <row r="32" customFormat="false" ht="15" hidden="false" customHeight="false" outlineLevel="0" collapsed="false">
      <c r="A32" s="11" t="s">
        <v>58</v>
      </c>
      <c r="B32" s="11" t="n">
        <v>2023</v>
      </c>
      <c r="C32" s="11" t="n">
        <v>2022</v>
      </c>
      <c r="D32" s="11" t="n">
        <v>2024</v>
      </c>
      <c r="E32" s="1" t="n">
        <f aca="false">D32-B32</f>
        <v>1</v>
      </c>
      <c r="F32" s="1" t="n">
        <f aca="false">B32-C32+1</f>
        <v>2</v>
      </c>
      <c r="G32" s="1" t="n">
        <f aca="false">D32-C32+1</f>
        <v>3</v>
      </c>
      <c r="H32" s="8" t="n">
        <f aca="false">INDEX(Data!$B$3:$T$21,MATCH(C32,Data!$A$3:$A$21,0),MATCH(B32,Data!$B$2:$T$2,0))</f>
        <v>8113</v>
      </c>
      <c r="I32" s="8" t="n">
        <f aca="false">INDEX(Data!$B$25:$T$43,MATCH(C32,Data!$A$3:$A$21,0),MATCH(B32,Data!$B$2:$T$2,0))</f>
        <v>76294</v>
      </c>
      <c r="J32" s="8" t="n">
        <f aca="false">H32+I32</f>
        <v>84407</v>
      </c>
      <c r="K32" s="3" t="n">
        <f aca="false">INDEX('pattern input'!$B$2:$AO$5,MATCH(A32&amp;"_"&amp;B32,'pattern input'!$A$2:$A$5,0),F32)</f>
        <v>0.420956725941103</v>
      </c>
      <c r="L32" s="3" t="n">
        <f aca="false">INDEX('pattern input'!$B$2:$AO$5,MATCH(A32&amp;"_"&amp;B32,'pattern input'!$A$2:$A$5,0),G32)</f>
        <v>0.610582494696767</v>
      </c>
      <c r="M32" s="8" t="n">
        <f aca="false">IF(K32&gt;=1,0,I32*(L32-INDEX('pattern input'!$B$2:$AO$5,MATCH(A32&amp;"_"&amp;B32,'pattern input'!$A$2:$A$5,0),G32-1))/(1-K32))</f>
        <v>24984.8483689892</v>
      </c>
      <c r="N32" s="8" t="n">
        <f aca="false">INDEX(Data!$B$3:$T$21,MATCH(C32,Data!$A$3:$A$21,0),MATCH(D32,Data!$B$2:$T$2,0))-INDEX(Data!$B$3:$T$21,MATCH(C32,Data!$A$3:$A$21,0),MATCH(D32-1,Data!$B$2:$T$2,0))</f>
        <v>2507</v>
      </c>
      <c r="O32" s="9" t="n">
        <f aca="false">M32-N32</f>
        <v>22477.8483689892</v>
      </c>
      <c r="P32" s="8" t="n">
        <f aca="false">IF(K32&gt;=1,H32+I32,H32+I32*(L32-K32)/(1-K32))</f>
        <v>33097.8483689892</v>
      </c>
      <c r="Q32" s="8" t="n">
        <f aca="false">INDEX(Data!$B$3:$T$21,MATCH(C32,Data!$A$3:$A$21,0),MATCH(D32,Data!$B$2:$T$2,0))</f>
        <v>10620</v>
      </c>
      <c r="R32" s="3" t="n">
        <f aca="false">IF(J32&gt;0,P32/J32,"")</f>
        <v>0.392122079554886</v>
      </c>
      <c r="S32" s="3" t="n">
        <f aca="false">IF(J32&gt;0,Q32/J32,"")</f>
        <v>0.125818948665395</v>
      </c>
      <c r="T32" s="6" t="n">
        <f aca="false">IF(J32&gt;0,R32-S32,"")</f>
        <v>0.266303130889491</v>
      </c>
      <c r="U32" s="1" t="s">
        <v>20</v>
      </c>
      <c r="V32" s="8" t="n">
        <f aca="false">ABS(O32)</f>
        <v>22477.8483689892</v>
      </c>
      <c r="W32" s="8" t="n">
        <f aca="false">O32^2</f>
        <v>505253667.299272</v>
      </c>
      <c r="X32" s="12" t="n">
        <f aca="false">IF(M32&gt;0,O32^2/M32,0)</f>
        <v>20222.4027873783</v>
      </c>
      <c r="Y32" s="8" t="n">
        <f aca="false">IF(V32&lt;=Metrics!$C$3,0.5*O32^2,Metrics!$C$3*(V32-0.5*Metrics!$C$3))</f>
        <v>174778483.689892</v>
      </c>
      <c r="Z32" s="8" t="n">
        <f aca="false">ABS(P32-Q32)</f>
        <v>22477.8483689892</v>
      </c>
      <c r="AA32" s="13" t="n">
        <f aca="false">IF(J32&gt;0,T32^2,0)</f>
        <v>0.0709173575215451</v>
      </c>
    </row>
    <row r="33" customFormat="false" ht="15" hidden="false" customHeight="false" outlineLevel="0" collapsed="false">
      <c r="A33" s="11" t="s">
        <v>58</v>
      </c>
      <c r="B33" s="11" t="n">
        <v>2023</v>
      </c>
      <c r="C33" s="11" t="n">
        <v>2022</v>
      </c>
      <c r="D33" s="11" t="n">
        <v>2025</v>
      </c>
      <c r="E33" s="1" t="n">
        <f aca="false">D33-B33</f>
        <v>2</v>
      </c>
      <c r="F33" s="1" t="n">
        <f aca="false">B33-C33+1</f>
        <v>2</v>
      </c>
      <c r="G33" s="1" t="n">
        <f aca="false">D33-C33+1</f>
        <v>4</v>
      </c>
      <c r="H33" s="8" t="n">
        <f aca="false">INDEX(Data!$B$3:$T$21,MATCH(C33,Data!$A$3:$A$21,0),MATCH(B33,Data!$B$2:$T$2,0))</f>
        <v>8113</v>
      </c>
      <c r="I33" s="8" t="n">
        <f aca="false">INDEX(Data!$B$25:$T$43,MATCH(C33,Data!$A$3:$A$21,0),MATCH(B33,Data!$B$2:$T$2,0))</f>
        <v>76294</v>
      </c>
      <c r="J33" s="8" t="n">
        <f aca="false">H33+I33</f>
        <v>84407</v>
      </c>
      <c r="K33" s="3" t="n">
        <f aca="false">INDEX('pattern input'!$B$2:$AO$5,MATCH(A33&amp;"_"&amp;B33,'pattern input'!$A$2:$A$5,0),F33)</f>
        <v>0.420956725941103</v>
      </c>
      <c r="L33" s="3" t="n">
        <f aca="false">INDEX('pattern input'!$B$2:$AO$5,MATCH(A33&amp;"_"&amp;B33,'pattern input'!$A$2:$A$5,0),G33)</f>
        <v>0.703600031559663</v>
      </c>
      <c r="M33" s="8" t="n">
        <f aca="false">IF(K33&gt;=1,0,I33*(L33-INDEX('pattern input'!$B$2:$AO$5,MATCH(A33&amp;"_"&amp;B33,'pattern input'!$A$2:$A$5,0),G33-1))/(1-K33))</f>
        <v>12255.8714958772</v>
      </c>
      <c r="N33" s="8" t="n">
        <f aca="false">INDEX(Data!$B$3:$T$21,MATCH(C33,Data!$A$3:$A$21,0),MATCH(D33,Data!$B$2:$T$2,0))-INDEX(Data!$B$3:$T$21,MATCH(C33,Data!$A$3:$A$21,0),MATCH(D33-1,Data!$B$2:$T$2,0))</f>
        <v>0</v>
      </c>
      <c r="O33" s="9" t="n">
        <f aca="false">M33-N33</f>
        <v>12255.8714958772</v>
      </c>
      <c r="P33" s="8" t="n">
        <f aca="false">IF(K33&gt;=1,H33+I33,H33+I33*(L33-K33)/(1-K33))</f>
        <v>45353.7198648664</v>
      </c>
      <c r="Q33" s="8" t="n">
        <f aca="false">INDEX(Data!$B$3:$T$21,MATCH(C33,Data!$A$3:$A$21,0),MATCH(D33,Data!$B$2:$T$2,0))</f>
        <v>10620</v>
      </c>
      <c r="R33" s="3" t="n">
        <f aca="false">IF(J33&gt;0,P33/J33,"")</f>
        <v>0.537321784506811</v>
      </c>
      <c r="S33" s="3" t="n">
        <f aca="false">IF(J33&gt;0,Q33/J33,"")</f>
        <v>0.125818948665395</v>
      </c>
      <c r="T33" s="6" t="n">
        <f aca="false">IF(J33&gt;0,R33-S33,"")</f>
        <v>0.411502835841416</v>
      </c>
      <c r="U33" s="1" t="s">
        <v>20</v>
      </c>
      <c r="V33" s="8" t="n">
        <f aca="false">ABS(O33)</f>
        <v>12255.8714958772</v>
      </c>
      <c r="W33" s="8" t="n">
        <f aca="false">O33^2</f>
        <v>150206386.123455</v>
      </c>
      <c r="X33" s="12" t="n">
        <f aca="false">IF(M33&gt;0,O33^2/M33,0)</f>
        <v>12255.8714958772</v>
      </c>
      <c r="Y33" s="8" t="n">
        <f aca="false">IF(V33&lt;=Metrics!$C$3,0.5*O33^2,Metrics!$C$3*(V33-0.5*Metrics!$C$3))</f>
        <v>72558714.9587717</v>
      </c>
      <c r="Z33" s="8" t="n">
        <f aca="false">ABS(P33-Q33)</f>
        <v>34733.7198648664</v>
      </c>
      <c r="AA33" s="13" t="n">
        <f aca="false">IF(J33&gt;0,T33^2,0)</f>
        <v>0.169334583905527</v>
      </c>
    </row>
    <row r="34" customFormat="false" ht="15" hidden="false" customHeight="false" outlineLevel="0" collapsed="false">
      <c r="A34" s="11" t="s">
        <v>58</v>
      </c>
      <c r="B34" s="11" t="n">
        <v>2023</v>
      </c>
      <c r="C34" s="11" t="n">
        <v>2023</v>
      </c>
      <c r="D34" s="11" t="n">
        <v>2024</v>
      </c>
      <c r="E34" s="1" t="n">
        <f aca="false">D34-B34</f>
        <v>1</v>
      </c>
      <c r="F34" s="1" t="n">
        <f aca="false">B34-C34+1</f>
        <v>1</v>
      </c>
      <c r="G34" s="1" t="n">
        <f aca="false">D34-C34+1</f>
        <v>2</v>
      </c>
      <c r="H34" s="8" t="n">
        <f aca="false">INDEX(Data!$B$3:$T$21,MATCH(C34,Data!$A$3:$A$21,0),MATCH(B34,Data!$B$2:$T$2,0))</f>
        <v>372</v>
      </c>
      <c r="I34" s="8" t="n">
        <f aca="false">INDEX(Data!$B$25:$T$43,MATCH(C34,Data!$A$3:$A$21,0),MATCH(B34,Data!$B$2:$T$2,0))</f>
        <v>156476</v>
      </c>
      <c r="J34" s="8" t="n">
        <f aca="false">H34+I34</f>
        <v>156848</v>
      </c>
      <c r="K34" s="3" t="n">
        <f aca="false">INDEX('pattern input'!$B$2:$AO$5,MATCH(A34&amp;"_"&amp;B34,'pattern input'!$A$2:$A$5,0),F34)</f>
        <v>0.0818906159420382</v>
      </c>
      <c r="L34" s="3" t="n">
        <f aca="false">INDEX('pattern input'!$B$2:$AO$5,MATCH(A34&amp;"_"&amp;B34,'pattern input'!$A$2:$A$5,0),G34)</f>
        <v>0.420956725941103</v>
      </c>
      <c r="M34" s="8" t="n">
        <f aca="false">IF(K34&gt;=1,0,I34*(L34-INDEX('pattern input'!$B$2:$AO$5,MATCH(A34&amp;"_"&amp;B34,'pattern input'!$A$2:$A$5,0),G34-1))/(1-K34))</f>
        <v>57788.0038582246</v>
      </c>
      <c r="N34" s="8" t="n">
        <f aca="false">INDEX(Data!$B$3:$T$21,MATCH(C34,Data!$A$3:$A$21,0),MATCH(D34,Data!$B$2:$T$2,0))-INDEX(Data!$B$3:$T$21,MATCH(C34,Data!$A$3:$A$21,0),MATCH(D34-1,Data!$B$2:$T$2,0))</f>
        <v>39901</v>
      </c>
      <c r="O34" s="9" t="n">
        <f aca="false">M34-N34</f>
        <v>17887.0038582246</v>
      </c>
      <c r="P34" s="8" t="n">
        <f aca="false">IF(K34&gt;=1,H34+I34,H34+I34*(L34-K34)/(1-K34))</f>
        <v>58160.0038582246</v>
      </c>
      <c r="Q34" s="8" t="n">
        <f aca="false">INDEX(Data!$B$3:$T$21,MATCH(C34,Data!$A$3:$A$21,0),MATCH(D34,Data!$B$2:$T$2,0))</f>
        <v>40273</v>
      </c>
      <c r="R34" s="3" t="n">
        <f aca="false">IF(J34&gt;0,P34/J34,"")</f>
        <v>0.370804880254926</v>
      </c>
      <c r="S34" s="3" t="n">
        <f aca="false">IF(J34&gt;0,Q34/J34,"")</f>
        <v>0.256764510864021</v>
      </c>
      <c r="T34" s="6" t="n">
        <f aca="false">IF(J34&gt;0,R34-S34,"")</f>
        <v>0.114040369390905</v>
      </c>
      <c r="U34" s="1" t="s">
        <v>20</v>
      </c>
      <c r="V34" s="8" t="n">
        <f aca="false">ABS(O34)</f>
        <v>17887.0038582246</v>
      </c>
      <c r="W34" s="8" t="n">
        <f aca="false">O34^2</f>
        <v>319944907.024141</v>
      </c>
      <c r="X34" s="12" t="n">
        <f aca="false">IF(M34&gt;0,O34^2/M34,0)</f>
        <v>5536.52809688815</v>
      </c>
      <c r="Y34" s="8" t="n">
        <f aca="false">IF(V34&lt;=Metrics!$C$3,0.5*O34^2,Metrics!$C$3*(V34-0.5*Metrics!$C$3))</f>
        <v>128870038.582246</v>
      </c>
      <c r="Z34" s="8" t="n">
        <f aca="false">ABS(P34-Q34)</f>
        <v>17887.0038582246</v>
      </c>
      <c r="AA34" s="13" t="n">
        <f aca="false">IF(J34&gt;0,T34^2,0)</f>
        <v>0.013005205850814</v>
      </c>
    </row>
    <row r="35" customFormat="false" ht="15" hidden="false" customHeight="false" outlineLevel="0" collapsed="false">
      <c r="A35" s="11" t="s">
        <v>58</v>
      </c>
      <c r="B35" s="11" t="n">
        <v>2023</v>
      </c>
      <c r="C35" s="11" t="n">
        <v>2023</v>
      </c>
      <c r="D35" s="11" t="n">
        <v>2025</v>
      </c>
      <c r="E35" s="1" t="n">
        <f aca="false">D35-B35</f>
        <v>2</v>
      </c>
      <c r="F35" s="1" t="n">
        <f aca="false">B35-C35+1</f>
        <v>1</v>
      </c>
      <c r="G35" s="1" t="n">
        <f aca="false">D35-C35+1</f>
        <v>3</v>
      </c>
      <c r="H35" s="8" t="n">
        <f aca="false">INDEX(Data!$B$3:$T$21,MATCH(C35,Data!$A$3:$A$21,0),MATCH(B35,Data!$B$2:$T$2,0))</f>
        <v>372</v>
      </c>
      <c r="I35" s="8" t="n">
        <f aca="false">INDEX(Data!$B$25:$T$43,MATCH(C35,Data!$A$3:$A$21,0),MATCH(B35,Data!$B$2:$T$2,0))</f>
        <v>156476</v>
      </c>
      <c r="J35" s="8" t="n">
        <f aca="false">H35+I35</f>
        <v>156848</v>
      </c>
      <c r="K35" s="3" t="n">
        <f aca="false">INDEX('pattern input'!$B$2:$AO$5,MATCH(A35&amp;"_"&amp;B35,'pattern input'!$A$2:$A$5,0),F35)</f>
        <v>0.0818906159420382</v>
      </c>
      <c r="L35" s="3" t="n">
        <f aca="false">INDEX('pattern input'!$B$2:$AO$5,MATCH(A35&amp;"_"&amp;B35,'pattern input'!$A$2:$A$5,0),G35)</f>
        <v>0.610582494696767</v>
      </c>
      <c r="M35" s="8" t="n">
        <f aca="false">IF(K35&gt;=1,0,I35*(L35-INDEX('pattern input'!$B$2:$AO$5,MATCH(A35&amp;"_"&amp;B35,'pattern input'!$A$2:$A$5,0),G35-1))/(1-K35))</f>
        <v>32318.4604220732</v>
      </c>
      <c r="N35" s="8" t="n">
        <f aca="false">INDEX(Data!$B$3:$T$21,MATCH(C35,Data!$A$3:$A$21,0),MATCH(D35,Data!$B$2:$T$2,0))-INDEX(Data!$B$3:$T$21,MATCH(C35,Data!$A$3:$A$21,0),MATCH(D35-1,Data!$B$2:$T$2,0))</f>
        <v>0</v>
      </c>
      <c r="O35" s="9" t="n">
        <f aca="false">M35-N35</f>
        <v>32318.4604220732</v>
      </c>
      <c r="P35" s="8" t="n">
        <f aca="false">IF(K35&gt;=1,H35+I35,H35+I35*(L35-K35)/(1-K35))</f>
        <v>90478.4642802978</v>
      </c>
      <c r="Q35" s="8" t="n">
        <f aca="false">INDEX(Data!$B$3:$T$21,MATCH(C35,Data!$A$3:$A$21,0),MATCH(D35,Data!$B$2:$T$2,0))</f>
        <v>40273</v>
      </c>
      <c r="R35" s="3" t="n">
        <f aca="false">IF(J35&gt;0,P35/J35,"")</f>
        <v>0.576854434103704</v>
      </c>
      <c r="S35" s="3" t="n">
        <f aca="false">IF(J35&gt;0,Q35/J35,"")</f>
        <v>0.256764510864021</v>
      </c>
      <c r="T35" s="6" t="n">
        <f aca="false">IF(J35&gt;0,R35-S35,"")</f>
        <v>0.320089923239683</v>
      </c>
      <c r="U35" s="1" t="s">
        <v>20</v>
      </c>
      <c r="V35" s="8" t="n">
        <f aca="false">ABS(O35)</f>
        <v>32318.4604220732</v>
      </c>
      <c r="W35" s="8" t="n">
        <f aca="false">O35^2</f>
        <v>1044482884.05311</v>
      </c>
      <c r="X35" s="12" t="n">
        <f aca="false">IF(M35&gt;0,O35^2/M35,0)</f>
        <v>32318.4604220732</v>
      </c>
      <c r="Y35" s="8" t="n">
        <f aca="false">IF(V35&lt;=Metrics!$C$3,0.5*O35^2,Metrics!$C$3*(V35-0.5*Metrics!$C$3))</f>
        <v>273184604.220732</v>
      </c>
      <c r="Z35" s="8" t="n">
        <f aca="false">ABS(P35-Q35)</f>
        <v>50205.4642802978</v>
      </c>
      <c r="AA35" s="13" t="n">
        <f aca="false">IF(J35&gt;0,T35^2,0)</f>
        <v>0.102457558959586</v>
      </c>
    </row>
    <row r="36" customFormat="false" ht="15" hidden="false" customHeight="false" outlineLevel="0" collapsed="false">
      <c r="A36" s="11" t="s">
        <v>58</v>
      </c>
      <c r="B36" s="11" t="n">
        <v>2024</v>
      </c>
      <c r="C36" s="11" t="n">
        <v>2007</v>
      </c>
      <c r="D36" s="11" t="n">
        <v>2025</v>
      </c>
      <c r="E36" s="1" t="n">
        <f aca="false">D36-B36</f>
        <v>1</v>
      </c>
      <c r="F36" s="1" t="n">
        <f aca="false">B36-C36+1</f>
        <v>18</v>
      </c>
      <c r="G36" s="1" t="n">
        <f aca="false">D36-C36+1</f>
        <v>19</v>
      </c>
      <c r="H36" s="8" t="n">
        <f aca="false">INDEX(Data!$B$3:$T$21,MATCH(C36,Data!$A$3:$A$21,0),MATCH(B36,Data!$B$2:$T$2,0))</f>
        <v>1382</v>
      </c>
      <c r="I36" s="8" t="n">
        <f aca="false">INDEX(Data!$B$25:$T$43,MATCH(C36,Data!$A$3:$A$21,0),MATCH(B36,Data!$B$2:$T$2,0))</f>
        <v>0</v>
      </c>
      <c r="J36" s="8" t="n">
        <f aca="false">H36+I36</f>
        <v>1382</v>
      </c>
      <c r="K36" s="3" t="n">
        <f aca="false">INDEX('pattern input'!$B$2:$AO$5,MATCH(A36&amp;"_"&amp;B36,'pattern input'!$A$2:$A$5,0),F36)</f>
        <v>0.993128145464523</v>
      </c>
      <c r="L36" s="3" t="n">
        <f aca="false">INDEX('pattern input'!$B$2:$AO$5,MATCH(A36&amp;"_"&amp;B36,'pattern input'!$A$2:$A$5,0),G36)</f>
        <v>1</v>
      </c>
      <c r="M36" s="8" t="n">
        <f aca="false">IF(K36&gt;=1,0,I36*(L36-INDEX('pattern input'!$B$2:$AO$5,MATCH(A36&amp;"_"&amp;B36,'pattern input'!$A$2:$A$5,0),G36-1))/(1-K36))</f>
        <v>0</v>
      </c>
      <c r="N36" s="8" t="n">
        <f aca="false">INDEX(Data!$B$3:$T$21,MATCH(C36,Data!$A$3:$A$21,0),MATCH(D36,Data!$B$2:$T$2,0))-INDEX(Data!$B$3:$T$21,MATCH(C36,Data!$A$3:$A$21,0),MATCH(D36-1,Data!$B$2:$T$2,0))</f>
        <v>0</v>
      </c>
      <c r="O36" s="9" t="n">
        <f aca="false">M36-N36</f>
        <v>0</v>
      </c>
      <c r="P36" s="8" t="n">
        <f aca="false">IF(K36&gt;=1,H36+I36,H36+I36*(L36-K36)/(1-K36))</f>
        <v>1382</v>
      </c>
      <c r="Q36" s="8" t="n">
        <f aca="false">INDEX(Data!$B$3:$T$21,MATCH(C36,Data!$A$3:$A$21,0),MATCH(D36,Data!$B$2:$T$2,0))</f>
        <v>1382</v>
      </c>
      <c r="R36" s="3" t="n">
        <f aca="false">IF(J36&gt;0,P36/J36,"")</f>
        <v>1</v>
      </c>
      <c r="S36" s="3" t="n">
        <f aca="false">IF(J36&gt;0,Q36/J36,"")</f>
        <v>1</v>
      </c>
      <c r="T36" s="6" t="n">
        <f aca="false">IF(J36&gt;0,R36-S36,"")</f>
        <v>0</v>
      </c>
      <c r="U36" s="1" t="s">
        <v>20</v>
      </c>
      <c r="V36" s="8" t="n">
        <f aca="false">ABS(O36)</f>
        <v>0</v>
      </c>
      <c r="W36" s="8" t="n">
        <f aca="false">O36^2</f>
        <v>0</v>
      </c>
      <c r="X36" s="12" t="n">
        <f aca="false">IF(M36&gt;0,O36^2/M36,0)</f>
        <v>0</v>
      </c>
      <c r="Y36" s="8" t="n">
        <f aca="false">IF(V36&lt;=Metrics!$C$3,0.5*O36^2,Metrics!$C$3*(V36-0.5*Metrics!$C$3))</f>
        <v>0</v>
      </c>
      <c r="Z36" s="8" t="n">
        <f aca="false">ABS(P36-Q36)</f>
        <v>0</v>
      </c>
      <c r="AA36" s="13" t="n">
        <f aca="false">IF(J36&gt;0,T36^2,0)</f>
        <v>0</v>
      </c>
    </row>
    <row r="37" customFormat="false" ht="15" hidden="false" customHeight="false" outlineLevel="0" collapsed="false">
      <c r="A37" s="11" t="s">
        <v>58</v>
      </c>
      <c r="B37" s="11" t="n">
        <v>2024</v>
      </c>
      <c r="C37" s="11" t="n">
        <v>2008</v>
      </c>
      <c r="D37" s="11" t="n">
        <v>2025</v>
      </c>
      <c r="E37" s="1" t="n">
        <f aca="false">D37-B37</f>
        <v>1</v>
      </c>
      <c r="F37" s="1" t="n">
        <f aca="false">B37-C37+1</f>
        <v>17</v>
      </c>
      <c r="G37" s="1" t="n">
        <f aca="false">D37-C37+1</f>
        <v>18</v>
      </c>
      <c r="H37" s="8" t="n">
        <f aca="false">INDEX(Data!$B$3:$T$21,MATCH(C37,Data!$A$3:$A$21,0),MATCH(B37,Data!$B$2:$T$2,0))</f>
        <v>9472</v>
      </c>
      <c r="I37" s="8" t="n">
        <f aca="false">INDEX(Data!$B$25:$T$43,MATCH(C37,Data!$A$3:$A$21,0),MATCH(B37,Data!$B$2:$T$2,0))</f>
        <v>3</v>
      </c>
      <c r="J37" s="8" t="n">
        <f aca="false">H37+I37</f>
        <v>9475</v>
      </c>
      <c r="K37" s="3" t="n">
        <f aca="false">INDEX('pattern input'!$B$2:$AO$5,MATCH(A37&amp;"_"&amp;B37,'pattern input'!$A$2:$A$5,0),F37)</f>
        <v>0.985863405458314</v>
      </c>
      <c r="L37" s="3" t="n">
        <f aca="false">INDEX('pattern input'!$B$2:$AO$5,MATCH(A37&amp;"_"&amp;B37,'pattern input'!$A$2:$A$5,0),G37)</f>
        <v>0.993128145464523</v>
      </c>
      <c r="M37" s="8" t="n">
        <f aca="false">IF(K37&gt;=1,0,I37*(L37-INDEX('pattern input'!$B$2:$AO$5,MATCH(A37&amp;"_"&amp;B37,'pattern input'!$A$2:$A$5,0),G37-1))/(1-K37))</f>
        <v>1.54168813106721</v>
      </c>
      <c r="N37" s="8" t="n">
        <f aca="false">INDEX(Data!$B$3:$T$21,MATCH(C37,Data!$A$3:$A$21,0),MATCH(D37,Data!$B$2:$T$2,0))-INDEX(Data!$B$3:$T$21,MATCH(C37,Data!$A$3:$A$21,0),MATCH(D37-1,Data!$B$2:$T$2,0))</f>
        <v>0</v>
      </c>
      <c r="O37" s="9" t="n">
        <f aca="false">M37-N37</f>
        <v>1.54168813106721</v>
      </c>
      <c r="P37" s="8" t="n">
        <f aca="false">IF(K37&gt;=1,H37+I37,H37+I37*(L37-K37)/(1-K37))</f>
        <v>9473.54168813107</v>
      </c>
      <c r="Q37" s="8" t="n">
        <f aca="false">INDEX(Data!$B$3:$T$21,MATCH(C37,Data!$A$3:$A$21,0),MATCH(D37,Data!$B$2:$T$2,0))</f>
        <v>9472</v>
      </c>
      <c r="R37" s="3" t="n">
        <f aca="false">IF(J37&gt;0,P37/J37,"")</f>
        <v>0.999846088457105</v>
      </c>
      <c r="S37" s="3" t="n">
        <f aca="false">IF(J37&gt;0,Q37/J37,"")</f>
        <v>0.999683377308707</v>
      </c>
      <c r="T37" s="6" t="n">
        <f aca="false">IF(J37&gt;0,R37-S37,"")</f>
        <v>0.000162711148397499</v>
      </c>
      <c r="U37" s="1" t="s">
        <v>20</v>
      </c>
      <c r="V37" s="8" t="n">
        <f aca="false">ABS(O37)</f>
        <v>1.54168813106721</v>
      </c>
      <c r="W37" s="8" t="n">
        <f aca="false">O37^2</f>
        <v>2.37680229347352</v>
      </c>
      <c r="X37" s="12" t="n">
        <f aca="false">IF(M37&gt;0,O37^2/M37,0)</f>
        <v>1.54168813106721</v>
      </c>
      <c r="Y37" s="8" t="n">
        <f aca="false">IF(V37&lt;=Metrics!$C$3,0.5*O37^2,Metrics!$C$3*(V37-0.5*Metrics!$C$3))</f>
        <v>1.18840114673676</v>
      </c>
      <c r="Z37" s="8" t="n">
        <f aca="false">ABS(P37-Q37)</f>
        <v>1.54168813106662</v>
      </c>
      <c r="AA37" s="13" t="n">
        <f aca="false">IF(J37&gt;0,T37^2,0)</f>
        <v>2.64749178128328E-008</v>
      </c>
    </row>
    <row r="38" customFormat="false" ht="15" hidden="false" customHeight="false" outlineLevel="0" collapsed="false">
      <c r="A38" s="11" t="s">
        <v>58</v>
      </c>
      <c r="B38" s="11" t="n">
        <v>2024</v>
      </c>
      <c r="C38" s="11" t="n">
        <v>2009</v>
      </c>
      <c r="D38" s="11" t="n">
        <v>2025</v>
      </c>
      <c r="E38" s="1" t="n">
        <f aca="false">D38-B38</f>
        <v>1</v>
      </c>
      <c r="F38" s="1" t="n">
        <f aca="false">B38-C38+1</f>
        <v>16</v>
      </c>
      <c r="G38" s="1" t="n">
        <f aca="false">D38-C38+1</f>
        <v>17</v>
      </c>
      <c r="H38" s="8" t="n">
        <f aca="false">INDEX(Data!$B$3:$T$21,MATCH(C38,Data!$A$3:$A$21,0),MATCH(B38,Data!$B$2:$T$2,0))</f>
        <v>8788</v>
      </c>
      <c r="I38" s="8" t="n">
        <f aca="false">INDEX(Data!$B$25:$T$43,MATCH(C38,Data!$A$3:$A$21,0),MATCH(B38,Data!$B$2:$T$2,0))</f>
        <v>0</v>
      </c>
      <c r="J38" s="8" t="n">
        <f aca="false">H38+I38</f>
        <v>8788</v>
      </c>
      <c r="K38" s="3" t="n">
        <f aca="false">INDEX('pattern input'!$B$2:$AO$5,MATCH(A38&amp;"_"&amp;B38,'pattern input'!$A$2:$A$5,0),F38)</f>
        <v>0.978158116142478</v>
      </c>
      <c r="L38" s="3" t="n">
        <f aca="false">INDEX('pattern input'!$B$2:$AO$5,MATCH(A38&amp;"_"&amp;B38,'pattern input'!$A$2:$A$5,0),G38)</f>
        <v>0.985863405458314</v>
      </c>
      <c r="M38" s="8" t="n">
        <f aca="false">IF(K38&gt;=1,0,I38*(L38-INDEX('pattern input'!$B$2:$AO$5,MATCH(A38&amp;"_"&amp;B38,'pattern input'!$A$2:$A$5,0),G38-1))/(1-K38))</f>
        <v>0</v>
      </c>
      <c r="N38" s="8" t="n">
        <f aca="false">INDEX(Data!$B$3:$T$21,MATCH(C38,Data!$A$3:$A$21,0),MATCH(D38,Data!$B$2:$T$2,0))-INDEX(Data!$B$3:$T$21,MATCH(C38,Data!$A$3:$A$21,0),MATCH(D38-1,Data!$B$2:$T$2,0))</f>
        <v>0</v>
      </c>
      <c r="O38" s="9" t="n">
        <f aca="false">M38-N38</f>
        <v>0</v>
      </c>
      <c r="P38" s="8" t="n">
        <f aca="false">IF(K38&gt;=1,H38+I38,H38+I38*(L38-K38)/(1-K38))</f>
        <v>8788</v>
      </c>
      <c r="Q38" s="8" t="n">
        <f aca="false">INDEX(Data!$B$3:$T$21,MATCH(C38,Data!$A$3:$A$21,0),MATCH(D38,Data!$B$2:$T$2,0))</f>
        <v>8788</v>
      </c>
      <c r="R38" s="3" t="n">
        <f aca="false">IF(J38&gt;0,P38/J38,"")</f>
        <v>1</v>
      </c>
      <c r="S38" s="3" t="n">
        <f aca="false">IF(J38&gt;0,Q38/J38,"")</f>
        <v>1</v>
      </c>
      <c r="T38" s="6" t="n">
        <f aca="false">IF(J38&gt;0,R38-S38,"")</f>
        <v>0</v>
      </c>
      <c r="U38" s="1" t="s">
        <v>20</v>
      </c>
      <c r="V38" s="8" t="n">
        <f aca="false">ABS(O38)</f>
        <v>0</v>
      </c>
      <c r="W38" s="8" t="n">
        <f aca="false">O38^2</f>
        <v>0</v>
      </c>
      <c r="X38" s="12" t="n">
        <f aca="false">IF(M38&gt;0,O38^2/M38,0)</f>
        <v>0</v>
      </c>
      <c r="Y38" s="8" t="n">
        <f aca="false">IF(V38&lt;=Metrics!$C$3,0.5*O38^2,Metrics!$C$3*(V38-0.5*Metrics!$C$3))</f>
        <v>0</v>
      </c>
      <c r="Z38" s="8" t="n">
        <f aca="false">ABS(P38-Q38)</f>
        <v>0</v>
      </c>
      <c r="AA38" s="13" t="n">
        <f aca="false">IF(J38&gt;0,T38^2,0)</f>
        <v>0</v>
      </c>
    </row>
    <row r="39" customFormat="false" ht="15" hidden="false" customHeight="false" outlineLevel="0" collapsed="false">
      <c r="A39" s="11" t="s">
        <v>58</v>
      </c>
      <c r="B39" s="11" t="n">
        <v>2024</v>
      </c>
      <c r="C39" s="11" t="n">
        <v>2010</v>
      </c>
      <c r="D39" s="11" t="n">
        <v>2025</v>
      </c>
      <c r="E39" s="1" t="n">
        <f aca="false">D39-B39</f>
        <v>1</v>
      </c>
      <c r="F39" s="1" t="n">
        <f aca="false">B39-C39+1</f>
        <v>15</v>
      </c>
      <c r="G39" s="1" t="n">
        <f aca="false">D39-C39+1</f>
        <v>16</v>
      </c>
      <c r="H39" s="8" t="n">
        <f aca="false">INDEX(Data!$B$3:$T$21,MATCH(C39,Data!$A$3:$A$21,0),MATCH(B39,Data!$B$2:$T$2,0))</f>
        <v>8854</v>
      </c>
      <c r="I39" s="8" t="n">
        <f aca="false">INDEX(Data!$B$25:$T$43,MATCH(C39,Data!$A$3:$A$21,0),MATCH(B39,Data!$B$2:$T$2,0))</f>
        <v>0</v>
      </c>
      <c r="J39" s="8" t="n">
        <f aca="false">H39+I39</f>
        <v>8854</v>
      </c>
      <c r="K39" s="3" t="n">
        <f aca="false">INDEX('pattern input'!$B$2:$AO$5,MATCH(A39&amp;"_"&amp;B39,'pattern input'!$A$2:$A$5,0),F39)</f>
        <v>0.969955376686437</v>
      </c>
      <c r="L39" s="3" t="n">
        <f aca="false">INDEX('pattern input'!$B$2:$AO$5,MATCH(A39&amp;"_"&amp;B39,'pattern input'!$A$2:$A$5,0),G39)</f>
        <v>0.978158116142478</v>
      </c>
      <c r="M39" s="8" t="n">
        <f aca="false">IF(K39&gt;=1,0,I39*(L39-INDEX('pattern input'!$B$2:$AO$5,MATCH(A39&amp;"_"&amp;B39,'pattern input'!$A$2:$A$5,0),G39-1))/(1-K39))</f>
        <v>0</v>
      </c>
      <c r="N39" s="8" t="n">
        <f aca="false">INDEX(Data!$B$3:$T$21,MATCH(C39,Data!$A$3:$A$21,0),MATCH(D39,Data!$B$2:$T$2,0))-INDEX(Data!$B$3:$T$21,MATCH(C39,Data!$A$3:$A$21,0),MATCH(D39-1,Data!$B$2:$T$2,0))</f>
        <v>0</v>
      </c>
      <c r="O39" s="9" t="n">
        <f aca="false">M39-N39</f>
        <v>0</v>
      </c>
      <c r="P39" s="8" t="n">
        <f aca="false">IF(K39&gt;=1,H39+I39,H39+I39*(L39-K39)/(1-K39))</f>
        <v>8854</v>
      </c>
      <c r="Q39" s="8" t="n">
        <f aca="false">INDEX(Data!$B$3:$T$21,MATCH(C39,Data!$A$3:$A$21,0),MATCH(D39,Data!$B$2:$T$2,0))</f>
        <v>8854</v>
      </c>
      <c r="R39" s="3" t="n">
        <f aca="false">IF(J39&gt;0,P39/J39,"")</f>
        <v>1</v>
      </c>
      <c r="S39" s="3" t="n">
        <f aca="false">IF(J39&gt;0,Q39/J39,"")</f>
        <v>1</v>
      </c>
      <c r="T39" s="6" t="n">
        <f aca="false">IF(J39&gt;0,R39-S39,"")</f>
        <v>0</v>
      </c>
      <c r="U39" s="1" t="s">
        <v>20</v>
      </c>
      <c r="V39" s="8" t="n">
        <f aca="false">ABS(O39)</f>
        <v>0</v>
      </c>
      <c r="W39" s="8" t="n">
        <f aca="false">O39^2</f>
        <v>0</v>
      </c>
      <c r="X39" s="12" t="n">
        <f aca="false">IF(M39&gt;0,O39^2/M39,0)</f>
        <v>0</v>
      </c>
      <c r="Y39" s="8" t="n">
        <f aca="false">IF(V39&lt;=Metrics!$C$3,0.5*O39^2,Metrics!$C$3*(V39-0.5*Metrics!$C$3))</f>
        <v>0</v>
      </c>
      <c r="Z39" s="8" t="n">
        <f aca="false">ABS(P39-Q39)</f>
        <v>0</v>
      </c>
      <c r="AA39" s="13" t="n">
        <f aca="false">IF(J39&gt;0,T39^2,0)</f>
        <v>0</v>
      </c>
    </row>
    <row r="40" customFormat="false" ht="15" hidden="false" customHeight="false" outlineLevel="0" collapsed="false">
      <c r="A40" s="11" t="s">
        <v>58</v>
      </c>
      <c r="B40" s="11" t="n">
        <v>2024</v>
      </c>
      <c r="C40" s="11" t="n">
        <v>2011</v>
      </c>
      <c r="D40" s="11" t="n">
        <v>2025</v>
      </c>
      <c r="E40" s="1" t="n">
        <f aca="false">D40-B40</f>
        <v>1</v>
      </c>
      <c r="F40" s="1" t="n">
        <f aca="false">B40-C40+1</f>
        <v>14</v>
      </c>
      <c r="G40" s="1" t="n">
        <f aca="false">D40-C40+1</f>
        <v>15</v>
      </c>
      <c r="H40" s="8" t="n">
        <f aca="false">INDEX(Data!$B$3:$T$21,MATCH(C40,Data!$A$3:$A$21,0),MATCH(B40,Data!$B$2:$T$2,0))</f>
        <v>26889</v>
      </c>
      <c r="I40" s="8" t="n">
        <f aca="false">INDEX(Data!$B$25:$T$43,MATCH(C40,Data!$A$3:$A$21,0),MATCH(B40,Data!$B$2:$T$2,0))</f>
        <v>0</v>
      </c>
      <c r="J40" s="8" t="n">
        <f aca="false">H40+I40</f>
        <v>26889</v>
      </c>
      <c r="K40" s="3" t="n">
        <f aca="false">INDEX('pattern input'!$B$2:$AO$5,MATCH(A40&amp;"_"&amp;B40,'pattern input'!$A$2:$A$5,0),F40)</f>
        <v>0.961186496657016</v>
      </c>
      <c r="L40" s="3" t="n">
        <f aca="false">INDEX('pattern input'!$B$2:$AO$5,MATCH(A40&amp;"_"&amp;B40,'pattern input'!$A$2:$A$5,0),G40)</f>
        <v>0.969955376686437</v>
      </c>
      <c r="M40" s="8" t="n">
        <f aca="false">IF(K40&gt;=1,0,I40*(L40-INDEX('pattern input'!$B$2:$AO$5,MATCH(A40&amp;"_"&amp;B40,'pattern input'!$A$2:$A$5,0),G40-1))/(1-K40))</f>
        <v>0</v>
      </c>
      <c r="N40" s="8" t="n">
        <f aca="false">INDEX(Data!$B$3:$T$21,MATCH(C40,Data!$A$3:$A$21,0),MATCH(D40,Data!$B$2:$T$2,0))-INDEX(Data!$B$3:$T$21,MATCH(C40,Data!$A$3:$A$21,0),MATCH(D40-1,Data!$B$2:$T$2,0))</f>
        <v>0</v>
      </c>
      <c r="O40" s="9" t="n">
        <f aca="false">M40-N40</f>
        <v>0</v>
      </c>
      <c r="P40" s="8" t="n">
        <f aca="false">IF(K40&gt;=1,H40+I40,H40+I40*(L40-K40)/(1-K40))</f>
        <v>26889</v>
      </c>
      <c r="Q40" s="8" t="n">
        <f aca="false">INDEX(Data!$B$3:$T$21,MATCH(C40,Data!$A$3:$A$21,0),MATCH(D40,Data!$B$2:$T$2,0))</f>
        <v>26889</v>
      </c>
      <c r="R40" s="3" t="n">
        <f aca="false">IF(J40&gt;0,P40/J40,"")</f>
        <v>1</v>
      </c>
      <c r="S40" s="3" t="n">
        <f aca="false">IF(J40&gt;0,Q40/J40,"")</f>
        <v>1</v>
      </c>
      <c r="T40" s="6" t="n">
        <f aca="false">IF(J40&gt;0,R40-S40,"")</f>
        <v>0</v>
      </c>
      <c r="U40" s="1" t="s">
        <v>20</v>
      </c>
      <c r="V40" s="8" t="n">
        <f aca="false">ABS(O40)</f>
        <v>0</v>
      </c>
      <c r="W40" s="8" t="n">
        <f aca="false">O40^2</f>
        <v>0</v>
      </c>
      <c r="X40" s="12" t="n">
        <f aca="false">IF(M40&gt;0,O40^2/M40,0)</f>
        <v>0</v>
      </c>
      <c r="Y40" s="8" t="n">
        <f aca="false">IF(V40&lt;=Metrics!$C$3,0.5*O40^2,Metrics!$C$3*(V40-0.5*Metrics!$C$3))</f>
        <v>0</v>
      </c>
      <c r="Z40" s="8" t="n">
        <f aca="false">ABS(P40-Q40)</f>
        <v>0</v>
      </c>
      <c r="AA40" s="13" t="n">
        <f aca="false">IF(J40&gt;0,T40^2,0)</f>
        <v>0</v>
      </c>
    </row>
    <row r="41" customFormat="false" ht="15" hidden="false" customHeight="false" outlineLevel="0" collapsed="false">
      <c r="A41" s="11" t="s">
        <v>58</v>
      </c>
      <c r="B41" s="11" t="n">
        <v>2024</v>
      </c>
      <c r="C41" s="11" t="n">
        <v>2012</v>
      </c>
      <c r="D41" s="11" t="n">
        <v>2025</v>
      </c>
      <c r="E41" s="1" t="n">
        <f aca="false">D41-B41</f>
        <v>1</v>
      </c>
      <c r="F41" s="1" t="n">
        <f aca="false">B41-C41+1</f>
        <v>13</v>
      </c>
      <c r="G41" s="1" t="n">
        <f aca="false">D41-C41+1</f>
        <v>14</v>
      </c>
      <c r="H41" s="8" t="n">
        <f aca="false">INDEX(Data!$B$3:$T$21,MATCH(C41,Data!$A$3:$A$21,0),MATCH(B41,Data!$B$2:$T$2,0))</f>
        <v>36764</v>
      </c>
      <c r="I41" s="8" t="n">
        <f aca="false">INDEX(Data!$B$25:$T$43,MATCH(C41,Data!$A$3:$A$21,0),MATCH(B41,Data!$B$2:$T$2,0))</f>
        <v>0</v>
      </c>
      <c r="J41" s="8" t="n">
        <f aca="false">H41+I41</f>
        <v>36764</v>
      </c>
      <c r="K41" s="3" t="n">
        <f aca="false">INDEX('pattern input'!$B$2:$AO$5,MATCH(A41&amp;"_"&amp;B41,'pattern input'!$A$2:$A$5,0),F41)</f>
        <v>0.951767495780055</v>
      </c>
      <c r="L41" s="3" t="n">
        <f aca="false">INDEX('pattern input'!$B$2:$AO$5,MATCH(A41&amp;"_"&amp;B41,'pattern input'!$A$2:$A$5,0),G41)</f>
        <v>0.961186496657016</v>
      </c>
      <c r="M41" s="8" t="n">
        <f aca="false">IF(K41&gt;=1,0,I41*(L41-INDEX('pattern input'!$B$2:$AO$5,MATCH(A41&amp;"_"&amp;B41,'pattern input'!$A$2:$A$5,0),G41-1))/(1-K41))</f>
        <v>0</v>
      </c>
      <c r="N41" s="8" t="n">
        <f aca="false">INDEX(Data!$B$3:$T$21,MATCH(C41,Data!$A$3:$A$21,0),MATCH(D41,Data!$B$2:$T$2,0))-INDEX(Data!$B$3:$T$21,MATCH(C41,Data!$A$3:$A$21,0),MATCH(D41-1,Data!$B$2:$T$2,0))</f>
        <v>0</v>
      </c>
      <c r="O41" s="9" t="n">
        <f aca="false">M41-N41</f>
        <v>0</v>
      </c>
      <c r="P41" s="8" t="n">
        <f aca="false">IF(K41&gt;=1,H41+I41,H41+I41*(L41-K41)/(1-K41))</f>
        <v>36764</v>
      </c>
      <c r="Q41" s="8" t="n">
        <f aca="false">INDEX(Data!$B$3:$T$21,MATCH(C41,Data!$A$3:$A$21,0),MATCH(D41,Data!$B$2:$T$2,0))</f>
        <v>36764</v>
      </c>
      <c r="R41" s="3" t="n">
        <f aca="false">IF(J41&gt;0,P41/J41,"")</f>
        <v>1</v>
      </c>
      <c r="S41" s="3" t="n">
        <f aca="false">IF(J41&gt;0,Q41/J41,"")</f>
        <v>1</v>
      </c>
      <c r="T41" s="6" t="n">
        <f aca="false">IF(J41&gt;0,R41-S41,"")</f>
        <v>0</v>
      </c>
      <c r="U41" s="1" t="s">
        <v>20</v>
      </c>
      <c r="V41" s="8" t="n">
        <f aca="false">ABS(O41)</f>
        <v>0</v>
      </c>
      <c r="W41" s="8" t="n">
        <f aca="false">O41^2</f>
        <v>0</v>
      </c>
      <c r="X41" s="12" t="n">
        <f aca="false">IF(M41&gt;0,O41^2/M41,0)</f>
        <v>0</v>
      </c>
      <c r="Y41" s="8" t="n">
        <f aca="false">IF(V41&lt;=Metrics!$C$3,0.5*O41^2,Metrics!$C$3*(V41-0.5*Metrics!$C$3))</f>
        <v>0</v>
      </c>
      <c r="Z41" s="8" t="n">
        <f aca="false">ABS(P41-Q41)</f>
        <v>0</v>
      </c>
      <c r="AA41" s="13" t="n">
        <f aca="false">IF(J41&gt;0,T41^2,0)</f>
        <v>0</v>
      </c>
    </row>
    <row r="42" customFormat="false" ht="15" hidden="false" customHeight="false" outlineLevel="0" collapsed="false">
      <c r="A42" s="11" t="s">
        <v>58</v>
      </c>
      <c r="B42" s="11" t="n">
        <v>2024</v>
      </c>
      <c r="C42" s="11" t="n">
        <v>2013</v>
      </c>
      <c r="D42" s="11" t="n">
        <v>2025</v>
      </c>
      <c r="E42" s="1" t="n">
        <f aca="false">D42-B42</f>
        <v>1</v>
      </c>
      <c r="F42" s="1" t="n">
        <f aca="false">B42-C42+1</f>
        <v>12</v>
      </c>
      <c r="G42" s="1" t="n">
        <f aca="false">D42-C42+1</f>
        <v>13</v>
      </c>
      <c r="H42" s="8" t="n">
        <f aca="false">INDEX(Data!$B$3:$T$21,MATCH(C42,Data!$A$3:$A$21,0),MATCH(B42,Data!$B$2:$T$2,0))</f>
        <v>7000</v>
      </c>
      <c r="I42" s="8" t="n">
        <f aca="false">INDEX(Data!$B$25:$T$43,MATCH(C42,Data!$A$3:$A$21,0),MATCH(B42,Data!$B$2:$T$2,0))</f>
        <v>0</v>
      </c>
      <c r="J42" s="8" t="n">
        <f aca="false">H42+I42</f>
        <v>7000</v>
      </c>
      <c r="K42" s="3" t="n">
        <f aca="false">INDEX('pattern input'!$B$2:$AO$5,MATCH(A42&amp;"_"&amp;B42,'pattern input'!$A$2:$A$5,0),F42)</f>
        <v>0.941594199819299</v>
      </c>
      <c r="L42" s="3" t="n">
        <f aca="false">INDEX('pattern input'!$B$2:$AO$5,MATCH(A42&amp;"_"&amp;B42,'pattern input'!$A$2:$A$5,0),G42)</f>
        <v>0.951767495780055</v>
      </c>
      <c r="M42" s="8" t="n">
        <f aca="false">IF(K42&gt;=1,0,I42*(L42-INDEX('pattern input'!$B$2:$AO$5,MATCH(A42&amp;"_"&amp;B42,'pattern input'!$A$2:$A$5,0),G42-1))/(1-K42))</f>
        <v>0</v>
      </c>
      <c r="N42" s="8" t="n">
        <f aca="false">INDEX(Data!$B$3:$T$21,MATCH(C42,Data!$A$3:$A$21,0),MATCH(D42,Data!$B$2:$T$2,0))-INDEX(Data!$B$3:$T$21,MATCH(C42,Data!$A$3:$A$21,0),MATCH(D42-1,Data!$B$2:$T$2,0))</f>
        <v>0</v>
      </c>
      <c r="O42" s="9" t="n">
        <f aca="false">M42-N42</f>
        <v>0</v>
      </c>
      <c r="P42" s="8" t="n">
        <f aca="false">IF(K42&gt;=1,H42+I42,H42+I42*(L42-K42)/(1-K42))</f>
        <v>7000</v>
      </c>
      <c r="Q42" s="8" t="n">
        <f aca="false">INDEX(Data!$B$3:$T$21,MATCH(C42,Data!$A$3:$A$21,0),MATCH(D42,Data!$B$2:$T$2,0))</f>
        <v>7000</v>
      </c>
      <c r="R42" s="3" t="n">
        <f aca="false">IF(J42&gt;0,P42/J42,"")</f>
        <v>1</v>
      </c>
      <c r="S42" s="3" t="n">
        <f aca="false">IF(J42&gt;0,Q42/J42,"")</f>
        <v>1</v>
      </c>
      <c r="T42" s="6" t="n">
        <f aca="false">IF(J42&gt;0,R42-S42,"")</f>
        <v>0</v>
      </c>
      <c r="U42" s="1" t="s">
        <v>20</v>
      </c>
      <c r="V42" s="8" t="n">
        <f aca="false">ABS(O42)</f>
        <v>0</v>
      </c>
      <c r="W42" s="8" t="n">
        <f aca="false">O42^2</f>
        <v>0</v>
      </c>
      <c r="X42" s="12" t="n">
        <f aca="false">IF(M42&gt;0,O42^2/M42,0)</f>
        <v>0</v>
      </c>
      <c r="Y42" s="8" t="n">
        <f aca="false">IF(V42&lt;=Metrics!$C$3,0.5*O42^2,Metrics!$C$3*(V42-0.5*Metrics!$C$3))</f>
        <v>0</v>
      </c>
      <c r="Z42" s="8" t="n">
        <f aca="false">ABS(P42-Q42)</f>
        <v>0</v>
      </c>
      <c r="AA42" s="13" t="n">
        <f aca="false">IF(J42&gt;0,T42^2,0)</f>
        <v>0</v>
      </c>
    </row>
    <row r="43" customFormat="false" ht="15" hidden="false" customHeight="false" outlineLevel="0" collapsed="false">
      <c r="A43" s="11" t="s">
        <v>58</v>
      </c>
      <c r="B43" s="11" t="n">
        <v>2024</v>
      </c>
      <c r="C43" s="11" t="n">
        <v>2014</v>
      </c>
      <c r="D43" s="11" t="n">
        <v>2025</v>
      </c>
      <c r="E43" s="1" t="n">
        <f aca="false">D43-B43</f>
        <v>1</v>
      </c>
      <c r="F43" s="1" t="n">
        <f aca="false">B43-C43+1</f>
        <v>11</v>
      </c>
      <c r="G43" s="1" t="n">
        <f aca="false">D43-C43+1</f>
        <v>12</v>
      </c>
      <c r="H43" s="8" t="n">
        <f aca="false">INDEX(Data!$B$3:$T$21,MATCH(C43,Data!$A$3:$A$21,0),MATCH(B43,Data!$B$2:$T$2,0))</f>
        <v>23172</v>
      </c>
      <c r="I43" s="8" t="n">
        <f aca="false">INDEX(Data!$B$25:$T$43,MATCH(C43,Data!$A$3:$A$21,0),MATCH(B43,Data!$B$2:$T$2,0))</f>
        <v>0</v>
      </c>
      <c r="J43" s="8" t="n">
        <f aca="false">H43+I43</f>
        <v>23172</v>
      </c>
      <c r="K43" s="3" t="n">
        <f aca="false">INDEX('pattern input'!$B$2:$AO$5,MATCH(A43&amp;"_"&amp;B43,'pattern input'!$A$2:$A$5,0),F43)</f>
        <v>0.930535197496703</v>
      </c>
      <c r="L43" s="3" t="n">
        <f aca="false">INDEX('pattern input'!$B$2:$AO$5,MATCH(A43&amp;"_"&amp;B43,'pattern input'!$A$2:$A$5,0),G43)</f>
        <v>0.941594199819299</v>
      </c>
      <c r="M43" s="8" t="n">
        <f aca="false">IF(K43&gt;=1,0,I43*(L43-INDEX('pattern input'!$B$2:$AO$5,MATCH(A43&amp;"_"&amp;B43,'pattern input'!$A$2:$A$5,0),G43-1))/(1-K43))</f>
        <v>0</v>
      </c>
      <c r="N43" s="8" t="n">
        <f aca="false">INDEX(Data!$B$3:$T$21,MATCH(C43,Data!$A$3:$A$21,0),MATCH(D43,Data!$B$2:$T$2,0))-INDEX(Data!$B$3:$T$21,MATCH(C43,Data!$A$3:$A$21,0),MATCH(D43-1,Data!$B$2:$T$2,0))</f>
        <v>0</v>
      </c>
      <c r="O43" s="9" t="n">
        <f aca="false">M43-N43</f>
        <v>0</v>
      </c>
      <c r="P43" s="8" t="n">
        <f aca="false">IF(K43&gt;=1,H43+I43,H43+I43*(L43-K43)/(1-K43))</f>
        <v>23172</v>
      </c>
      <c r="Q43" s="8" t="n">
        <f aca="false">INDEX(Data!$B$3:$T$21,MATCH(C43,Data!$A$3:$A$21,0),MATCH(D43,Data!$B$2:$T$2,0))</f>
        <v>23172</v>
      </c>
      <c r="R43" s="3" t="n">
        <f aca="false">IF(J43&gt;0,P43/J43,"")</f>
        <v>1</v>
      </c>
      <c r="S43" s="3" t="n">
        <f aca="false">IF(J43&gt;0,Q43/J43,"")</f>
        <v>1</v>
      </c>
      <c r="T43" s="6" t="n">
        <f aca="false">IF(J43&gt;0,R43-S43,"")</f>
        <v>0</v>
      </c>
      <c r="U43" s="1" t="s">
        <v>20</v>
      </c>
      <c r="V43" s="8" t="n">
        <f aca="false">ABS(O43)</f>
        <v>0</v>
      </c>
      <c r="W43" s="8" t="n">
        <f aca="false">O43^2</f>
        <v>0</v>
      </c>
      <c r="X43" s="12" t="n">
        <f aca="false">IF(M43&gt;0,O43^2/M43,0)</f>
        <v>0</v>
      </c>
      <c r="Y43" s="8" t="n">
        <f aca="false">IF(V43&lt;=Metrics!$C$3,0.5*O43^2,Metrics!$C$3*(V43-0.5*Metrics!$C$3))</f>
        <v>0</v>
      </c>
      <c r="Z43" s="8" t="n">
        <f aca="false">ABS(P43-Q43)</f>
        <v>0</v>
      </c>
      <c r="AA43" s="13" t="n">
        <f aca="false">IF(J43&gt;0,T43^2,0)</f>
        <v>0</v>
      </c>
    </row>
    <row r="44" customFormat="false" ht="15" hidden="false" customHeight="false" outlineLevel="0" collapsed="false">
      <c r="A44" s="11" t="s">
        <v>58</v>
      </c>
      <c r="B44" s="11" t="n">
        <v>2024</v>
      </c>
      <c r="C44" s="11" t="n">
        <v>2015</v>
      </c>
      <c r="D44" s="11" t="n">
        <v>2025</v>
      </c>
      <c r="E44" s="1" t="n">
        <f aca="false">D44-B44</f>
        <v>1</v>
      </c>
      <c r="F44" s="1" t="n">
        <f aca="false">B44-C44+1</f>
        <v>10</v>
      </c>
      <c r="G44" s="1" t="n">
        <f aca="false">D44-C44+1</f>
        <v>11</v>
      </c>
      <c r="H44" s="8" t="n">
        <f aca="false">INDEX(Data!$B$3:$T$21,MATCH(C44,Data!$A$3:$A$21,0),MATCH(B44,Data!$B$2:$T$2,0))</f>
        <v>31462</v>
      </c>
      <c r="I44" s="8" t="n">
        <f aca="false">INDEX(Data!$B$25:$T$43,MATCH(C44,Data!$A$3:$A$21,0),MATCH(B44,Data!$B$2:$T$2,0))</f>
        <v>0</v>
      </c>
      <c r="J44" s="8" t="n">
        <f aca="false">H44+I44</f>
        <v>31462</v>
      </c>
      <c r="K44" s="3" t="n">
        <f aca="false">INDEX('pattern input'!$B$2:$AO$5,MATCH(A44&amp;"_"&amp;B44,'pattern input'!$A$2:$A$5,0),F44)</f>
        <v>0.918421431041212</v>
      </c>
      <c r="L44" s="3" t="n">
        <f aca="false">INDEX('pattern input'!$B$2:$AO$5,MATCH(A44&amp;"_"&amp;B44,'pattern input'!$A$2:$A$5,0),G44)</f>
        <v>0.930535197496703</v>
      </c>
      <c r="M44" s="8" t="n">
        <f aca="false">IF(K44&gt;=1,0,I44*(L44-INDEX('pattern input'!$B$2:$AO$5,MATCH(A44&amp;"_"&amp;B44,'pattern input'!$A$2:$A$5,0),G44-1))/(1-K44))</f>
        <v>0</v>
      </c>
      <c r="N44" s="8" t="n">
        <f aca="false">INDEX(Data!$B$3:$T$21,MATCH(C44,Data!$A$3:$A$21,0),MATCH(D44,Data!$B$2:$T$2,0))-INDEX(Data!$B$3:$T$21,MATCH(C44,Data!$A$3:$A$21,0),MATCH(D44-1,Data!$B$2:$T$2,0))</f>
        <v>0</v>
      </c>
      <c r="O44" s="9" t="n">
        <f aca="false">M44-N44</f>
        <v>0</v>
      </c>
      <c r="P44" s="8" t="n">
        <f aca="false">IF(K44&gt;=1,H44+I44,H44+I44*(L44-K44)/(1-K44))</f>
        <v>31462</v>
      </c>
      <c r="Q44" s="8" t="n">
        <f aca="false">INDEX(Data!$B$3:$T$21,MATCH(C44,Data!$A$3:$A$21,0),MATCH(D44,Data!$B$2:$T$2,0))</f>
        <v>31462</v>
      </c>
      <c r="R44" s="3" t="n">
        <f aca="false">IF(J44&gt;0,P44/J44,"")</f>
        <v>1</v>
      </c>
      <c r="S44" s="3" t="n">
        <f aca="false">IF(J44&gt;0,Q44/J44,"")</f>
        <v>1</v>
      </c>
      <c r="T44" s="6" t="n">
        <f aca="false">IF(J44&gt;0,R44-S44,"")</f>
        <v>0</v>
      </c>
      <c r="U44" s="1" t="s">
        <v>20</v>
      </c>
      <c r="V44" s="8" t="n">
        <f aca="false">ABS(O44)</f>
        <v>0</v>
      </c>
      <c r="W44" s="8" t="n">
        <f aca="false">O44^2</f>
        <v>0</v>
      </c>
      <c r="X44" s="12" t="n">
        <f aca="false">IF(M44&gt;0,O44^2/M44,0)</f>
        <v>0</v>
      </c>
      <c r="Y44" s="8" t="n">
        <f aca="false">IF(V44&lt;=Metrics!$C$3,0.5*O44^2,Metrics!$C$3*(V44-0.5*Metrics!$C$3))</f>
        <v>0</v>
      </c>
      <c r="Z44" s="8" t="n">
        <f aca="false">ABS(P44-Q44)</f>
        <v>0</v>
      </c>
      <c r="AA44" s="13" t="n">
        <f aca="false">IF(J44&gt;0,T44^2,0)</f>
        <v>0</v>
      </c>
    </row>
    <row r="45" customFormat="false" ht="15" hidden="false" customHeight="false" outlineLevel="0" collapsed="false">
      <c r="A45" s="11" t="s">
        <v>58</v>
      </c>
      <c r="B45" s="11" t="n">
        <v>2024</v>
      </c>
      <c r="C45" s="11" t="n">
        <v>2016</v>
      </c>
      <c r="D45" s="11" t="n">
        <v>2025</v>
      </c>
      <c r="E45" s="1" t="n">
        <f aca="false">D45-B45</f>
        <v>1</v>
      </c>
      <c r="F45" s="1" t="n">
        <f aca="false">B45-C45+1</f>
        <v>9</v>
      </c>
      <c r="G45" s="1" t="n">
        <f aca="false">D45-C45+1</f>
        <v>10</v>
      </c>
      <c r="H45" s="8" t="n">
        <f aca="false">INDEX(Data!$B$3:$T$21,MATCH(C45,Data!$A$3:$A$21,0),MATCH(B45,Data!$B$2:$T$2,0))</f>
        <v>2439</v>
      </c>
      <c r="I45" s="8" t="n">
        <f aca="false">INDEX(Data!$B$25:$T$43,MATCH(C45,Data!$A$3:$A$21,0),MATCH(B45,Data!$B$2:$T$2,0))</f>
        <v>0</v>
      </c>
      <c r="J45" s="8" t="n">
        <f aca="false">H45+I45</f>
        <v>2439</v>
      </c>
      <c r="K45" s="3" t="n">
        <f aca="false">INDEX('pattern input'!$B$2:$AO$5,MATCH(A45&amp;"_"&amp;B45,'pattern input'!$A$2:$A$5,0),F45)</f>
        <v>0.905030283496119</v>
      </c>
      <c r="L45" s="3" t="n">
        <f aca="false">INDEX('pattern input'!$B$2:$AO$5,MATCH(A45&amp;"_"&amp;B45,'pattern input'!$A$2:$A$5,0),G45)</f>
        <v>0.918421431041212</v>
      </c>
      <c r="M45" s="8" t="n">
        <f aca="false">IF(K45&gt;=1,0,I45*(L45-INDEX('pattern input'!$B$2:$AO$5,MATCH(A45&amp;"_"&amp;B45,'pattern input'!$A$2:$A$5,0),G45-1))/(1-K45))</f>
        <v>0</v>
      </c>
      <c r="N45" s="8" t="n">
        <f aca="false">INDEX(Data!$B$3:$T$21,MATCH(C45,Data!$A$3:$A$21,0),MATCH(D45,Data!$B$2:$T$2,0))-INDEX(Data!$B$3:$T$21,MATCH(C45,Data!$A$3:$A$21,0),MATCH(D45-1,Data!$B$2:$T$2,0))</f>
        <v>0</v>
      </c>
      <c r="O45" s="9" t="n">
        <f aca="false">M45-N45</f>
        <v>0</v>
      </c>
      <c r="P45" s="8" t="n">
        <f aca="false">IF(K45&gt;=1,H45+I45,H45+I45*(L45-K45)/(1-K45))</f>
        <v>2439</v>
      </c>
      <c r="Q45" s="8" t="n">
        <f aca="false">INDEX(Data!$B$3:$T$21,MATCH(C45,Data!$A$3:$A$21,0),MATCH(D45,Data!$B$2:$T$2,0))</f>
        <v>2439</v>
      </c>
      <c r="R45" s="3" t="n">
        <f aca="false">IF(J45&gt;0,P45/J45,"")</f>
        <v>1</v>
      </c>
      <c r="S45" s="3" t="n">
        <f aca="false">IF(J45&gt;0,Q45/J45,"")</f>
        <v>1</v>
      </c>
      <c r="T45" s="6" t="n">
        <f aca="false">IF(J45&gt;0,R45-S45,"")</f>
        <v>0</v>
      </c>
      <c r="U45" s="1" t="s">
        <v>20</v>
      </c>
      <c r="V45" s="8" t="n">
        <f aca="false">ABS(O45)</f>
        <v>0</v>
      </c>
      <c r="W45" s="8" t="n">
        <f aca="false">O45^2</f>
        <v>0</v>
      </c>
      <c r="X45" s="12" t="n">
        <f aca="false">IF(M45&gt;0,O45^2/M45,0)</f>
        <v>0</v>
      </c>
      <c r="Y45" s="8" t="n">
        <f aca="false">IF(V45&lt;=Metrics!$C$3,0.5*O45^2,Metrics!$C$3*(V45-0.5*Metrics!$C$3))</f>
        <v>0</v>
      </c>
      <c r="Z45" s="8" t="n">
        <f aca="false">ABS(P45-Q45)</f>
        <v>0</v>
      </c>
      <c r="AA45" s="13" t="n">
        <f aca="false">IF(J45&gt;0,T45^2,0)</f>
        <v>0</v>
      </c>
    </row>
    <row r="46" customFormat="false" ht="15" hidden="false" customHeight="false" outlineLevel="0" collapsed="false">
      <c r="A46" s="11" t="s">
        <v>58</v>
      </c>
      <c r="B46" s="11" t="n">
        <v>2024</v>
      </c>
      <c r="C46" s="11" t="n">
        <v>2017</v>
      </c>
      <c r="D46" s="11" t="n">
        <v>2025</v>
      </c>
      <c r="E46" s="1" t="n">
        <f aca="false">D46-B46</f>
        <v>1</v>
      </c>
      <c r="F46" s="1" t="n">
        <f aca="false">B46-C46+1</f>
        <v>8</v>
      </c>
      <c r="G46" s="1" t="n">
        <f aca="false">D46-C46+1</f>
        <v>9</v>
      </c>
      <c r="H46" s="8" t="n">
        <f aca="false">INDEX(Data!$B$3:$T$21,MATCH(C46,Data!$A$3:$A$21,0),MATCH(B46,Data!$B$2:$T$2,0))</f>
        <v>6410</v>
      </c>
      <c r="I46" s="8" t="n">
        <f aca="false">INDEX(Data!$B$25:$T$43,MATCH(C46,Data!$A$3:$A$21,0),MATCH(B46,Data!$B$2:$T$2,0))</f>
        <v>0</v>
      </c>
      <c r="J46" s="8" t="n">
        <f aca="false">H46+I46</f>
        <v>6410</v>
      </c>
      <c r="K46" s="3" t="n">
        <f aca="false">INDEX('pattern input'!$B$2:$AO$5,MATCH(A46&amp;"_"&amp;B46,'pattern input'!$A$2:$A$5,0),F46)</f>
        <v>0.890060254174074</v>
      </c>
      <c r="L46" s="3" t="n">
        <f aca="false">INDEX('pattern input'!$B$2:$AO$5,MATCH(A46&amp;"_"&amp;B46,'pattern input'!$A$2:$A$5,0),G46)</f>
        <v>0.905030283496119</v>
      </c>
      <c r="M46" s="8" t="n">
        <f aca="false">IF(K46&gt;=1,0,I46*(L46-INDEX('pattern input'!$B$2:$AO$5,MATCH(A46&amp;"_"&amp;B46,'pattern input'!$A$2:$A$5,0),G46-1))/(1-K46))</f>
        <v>0</v>
      </c>
      <c r="N46" s="8" t="n">
        <f aca="false">INDEX(Data!$B$3:$T$21,MATCH(C46,Data!$A$3:$A$21,0),MATCH(D46,Data!$B$2:$T$2,0))-INDEX(Data!$B$3:$T$21,MATCH(C46,Data!$A$3:$A$21,0),MATCH(D46-1,Data!$B$2:$T$2,0))</f>
        <v>0</v>
      </c>
      <c r="O46" s="9" t="n">
        <f aca="false">M46-N46</f>
        <v>0</v>
      </c>
      <c r="P46" s="8" t="n">
        <f aca="false">IF(K46&gt;=1,H46+I46,H46+I46*(L46-K46)/(1-K46))</f>
        <v>6410</v>
      </c>
      <c r="Q46" s="8" t="n">
        <f aca="false">INDEX(Data!$B$3:$T$21,MATCH(C46,Data!$A$3:$A$21,0),MATCH(D46,Data!$B$2:$T$2,0))</f>
        <v>6410</v>
      </c>
      <c r="R46" s="3" t="n">
        <f aca="false">IF(J46&gt;0,P46/J46,"")</f>
        <v>1</v>
      </c>
      <c r="S46" s="3" t="n">
        <f aca="false">IF(J46&gt;0,Q46/J46,"")</f>
        <v>1</v>
      </c>
      <c r="T46" s="6" t="n">
        <f aca="false">IF(J46&gt;0,R46-S46,"")</f>
        <v>0</v>
      </c>
      <c r="U46" s="1" t="s">
        <v>20</v>
      </c>
      <c r="V46" s="8" t="n">
        <f aca="false">ABS(O46)</f>
        <v>0</v>
      </c>
      <c r="W46" s="8" t="n">
        <f aca="false">O46^2</f>
        <v>0</v>
      </c>
      <c r="X46" s="12" t="n">
        <f aca="false">IF(M46&gt;0,O46^2/M46,0)</f>
        <v>0</v>
      </c>
      <c r="Y46" s="8" t="n">
        <f aca="false">IF(V46&lt;=Metrics!$C$3,0.5*O46^2,Metrics!$C$3*(V46-0.5*Metrics!$C$3))</f>
        <v>0</v>
      </c>
      <c r="Z46" s="8" t="n">
        <f aca="false">ABS(P46-Q46)</f>
        <v>0</v>
      </c>
      <c r="AA46" s="13" t="n">
        <f aca="false">IF(J46&gt;0,T46^2,0)</f>
        <v>0</v>
      </c>
    </row>
    <row r="47" customFormat="false" ht="15" hidden="false" customHeight="false" outlineLevel="0" collapsed="false">
      <c r="A47" s="11" t="s">
        <v>58</v>
      </c>
      <c r="B47" s="11" t="n">
        <v>2024</v>
      </c>
      <c r="C47" s="11" t="n">
        <v>2018</v>
      </c>
      <c r="D47" s="11" t="n">
        <v>2025</v>
      </c>
      <c r="E47" s="1" t="n">
        <f aca="false">D47-B47</f>
        <v>1</v>
      </c>
      <c r="F47" s="1" t="n">
        <f aca="false">B47-C47+1</f>
        <v>7</v>
      </c>
      <c r="G47" s="1" t="n">
        <f aca="false">D47-C47+1</f>
        <v>8</v>
      </c>
      <c r="H47" s="8" t="n">
        <f aca="false">INDEX(Data!$B$3:$T$21,MATCH(C47,Data!$A$3:$A$21,0),MATCH(B47,Data!$B$2:$T$2,0))</f>
        <v>1613</v>
      </c>
      <c r="I47" s="8" t="n">
        <f aca="false">INDEX(Data!$B$25:$T$43,MATCH(C47,Data!$A$3:$A$21,0),MATCH(B47,Data!$B$2:$T$2,0))</f>
        <v>787</v>
      </c>
      <c r="J47" s="8" t="n">
        <f aca="false">H47+I47</f>
        <v>2400</v>
      </c>
      <c r="K47" s="3" t="n">
        <f aca="false">INDEX('pattern input'!$B$2:$AO$5,MATCH(A47&amp;"_"&amp;B47,'pattern input'!$A$2:$A$5,0),F47)</f>
        <v>0.873088634688612</v>
      </c>
      <c r="L47" s="3" t="n">
        <f aca="false">INDEX('pattern input'!$B$2:$AO$5,MATCH(A47&amp;"_"&amp;B47,'pattern input'!$A$2:$A$5,0),G47)</f>
        <v>0.890060254174074</v>
      </c>
      <c r="M47" s="8" t="n">
        <f aca="false">IF(K47&gt;=1,0,I47*(L47-INDEX('pattern input'!$B$2:$AO$5,MATCH(A47&amp;"_"&amp;B47,'pattern input'!$A$2:$A$5,0),G47-1))/(1-K47))</f>
        <v>105.244037854974</v>
      </c>
      <c r="N47" s="8" t="n">
        <f aca="false">INDEX(Data!$B$3:$T$21,MATCH(C47,Data!$A$3:$A$21,0),MATCH(D47,Data!$B$2:$T$2,0))-INDEX(Data!$B$3:$T$21,MATCH(C47,Data!$A$3:$A$21,0),MATCH(D47-1,Data!$B$2:$T$2,0))</f>
        <v>0</v>
      </c>
      <c r="O47" s="9" t="n">
        <f aca="false">M47-N47</f>
        <v>105.244037854974</v>
      </c>
      <c r="P47" s="8" t="n">
        <f aca="false">IF(K47&gt;=1,H47+I47,H47+I47*(L47-K47)/(1-K47))</f>
        <v>1718.24403785497</v>
      </c>
      <c r="Q47" s="8" t="n">
        <f aca="false">INDEX(Data!$B$3:$T$21,MATCH(C47,Data!$A$3:$A$21,0),MATCH(D47,Data!$B$2:$T$2,0))</f>
        <v>1613</v>
      </c>
      <c r="R47" s="3" t="n">
        <f aca="false">IF(J47&gt;0,P47/J47,"")</f>
        <v>0.715935015772906</v>
      </c>
      <c r="S47" s="3" t="n">
        <f aca="false">IF(J47&gt;0,Q47/J47,"")</f>
        <v>0.672083333333333</v>
      </c>
      <c r="T47" s="6" t="n">
        <f aca="false">IF(J47&gt;0,R47-S47,"")</f>
        <v>0.0438516824395725</v>
      </c>
      <c r="U47" s="1" t="s">
        <v>20</v>
      </c>
      <c r="V47" s="8" t="n">
        <f aca="false">ABS(O47)</f>
        <v>105.244037854974</v>
      </c>
      <c r="W47" s="8" t="n">
        <f aca="false">O47^2</f>
        <v>11076.3075040192</v>
      </c>
      <c r="X47" s="12" t="n">
        <f aca="false">IF(M47&gt;0,O47^2/M47,0)</f>
        <v>105.244037854974</v>
      </c>
      <c r="Y47" s="8" t="n">
        <f aca="false">IF(V47&lt;=Metrics!$C$3,0.5*O47^2,Metrics!$C$3*(V47-0.5*Metrics!$C$3))</f>
        <v>5538.15375200962</v>
      </c>
      <c r="Z47" s="8" t="n">
        <f aca="false">ABS(P47-Q47)</f>
        <v>105.244037854974</v>
      </c>
      <c r="AA47" s="13" t="n">
        <f aca="false">IF(J47&gt;0,T47^2,0)</f>
        <v>0.00192297005278111</v>
      </c>
    </row>
    <row r="48" customFormat="false" ht="15" hidden="false" customHeight="false" outlineLevel="0" collapsed="false">
      <c r="A48" s="11" t="s">
        <v>58</v>
      </c>
      <c r="B48" s="11" t="n">
        <v>2024</v>
      </c>
      <c r="C48" s="11" t="n">
        <v>2019</v>
      </c>
      <c r="D48" s="11" t="n">
        <v>2025</v>
      </c>
      <c r="E48" s="1" t="n">
        <f aca="false">D48-B48</f>
        <v>1</v>
      </c>
      <c r="F48" s="1" t="n">
        <f aca="false">B48-C48+1</f>
        <v>6</v>
      </c>
      <c r="G48" s="1" t="n">
        <f aca="false">D48-C48+1</f>
        <v>7</v>
      </c>
      <c r="H48" s="8" t="n">
        <f aca="false">INDEX(Data!$B$3:$T$21,MATCH(C48,Data!$A$3:$A$21,0),MATCH(B48,Data!$B$2:$T$2,0))</f>
        <v>28896</v>
      </c>
      <c r="I48" s="8" t="n">
        <f aca="false">INDEX(Data!$B$25:$T$43,MATCH(C48,Data!$A$3:$A$21,0),MATCH(B48,Data!$B$2:$T$2,0))</f>
        <v>1443</v>
      </c>
      <c r="J48" s="8" t="n">
        <f aca="false">H48+I48</f>
        <v>30339</v>
      </c>
      <c r="K48" s="3" t="n">
        <f aca="false">INDEX('pattern input'!$B$2:$AO$5,MATCH(A48&amp;"_"&amp;B48,'pattern input'!$A$2:$A$5,0),F48)</f>
        <v>0.853496337850895</v>
      </c>
      <c r="L48" s="3" t="n">
        <f aca="false">INDEX('pattern input'!$B$2:$AO$5,MATCH(A48&amp;"_"&amp;B48,'pattern input'!$A$2:$A$5,0),G48)</f>
        <v>0.873088634688612</v>
      </c>
      <c r="M48" s="8" t="n">
        <f aca="false">IF(K48&gt;=1,0,I48*(L48-INDEX('pattern input'!$B$2:$AO$5,MATCH(A48&amp;"_"&amp;B48,'pattern input'!$A$2:$A$5,0),G48-1))/(1-K48))</f>
        <v>192.975956519453</v>
      </c>
      <c r="N48" s="8" t="n">
        <f aca="false">INDEX(Data!$B$3:$T$21,MATCH(C48,Data!$A$3:$A$21,0),MATCH(D48,Data!$B$2:$T$2,0))-INDEX(Data!$B$3:$T$21,MATCH(C48,Data!$A$3:$A$21,0),MATCH(D48-1,Data!$B$2:$T$2,0))</f>
        <v>0</v>
      </c>
      <c r="O48" s="9" t="n">
        <f aca="false">M48-N48</f>
        <v>192.975956519453</v>
      </c>
      <c r="P48" s="8" t="n">
        <f aca="false">IF(K48&gt;=1,H48+I48,H48+I48*(L48-K48)/(1-K48))</f>
        <v>29088.9759565195</v>
      </c>
      <c r="Q48" s="8" t="n">
        <f aca="false">INDEX(Data!$B$3:$T$21,MATCH(C48,Data!$A$3:$A$21,0),MATCH(D48,Data!$B$2:$T$2,0))</f>
        <v>28896</v>
      </c>
      <c r="R48" s="3" t="n">
        <f aca="false">IF(J48&gt;0,P48/J48,"")</f>
        <v>0.958798113204768</v>
      </c>
      <c r="S48" s="3" t="n">
        <f aca="false">IF(J48&gt;0,Q48/J48,"")</f>
        <v>0.952437456738851</v>
      </c>
      <c r="T48" s="6" t="n">
        <f aca="false">IF(J48&gt;0,R48-S48,"")</f>
        <v>0.00636065646591699</v>
      </c>
      <c r="U48" s="1" t="s">
        <v>20</v>
      </c>
      <c r="V48" s="8" t="n">
        <f aca="false">ABS(O48)</f>
        <v>192.975956519453</v>
      </c>
      <c r="W48" s="8" t="n">
        <f aca="false">O48^2</f>
        <v>37239.719794598</v>
      </c>
      <c r="X48" s="12" t="n">
        <f aca="false">IF(M48&gt;0,O48^2/M48,0)</f>
        <v>192.975956519453</v>
      </c>
      <c r="Y48" s="8" t="n">
        <f aca="false">IF(V48&lt;=Metrics!$C$3,0.5*O48^2,Metrics!$C$3*(V48-0.5*Metrics!$C$3))</f>
        <v>18619.859897299</v>
      </c>
      <c r="Z48" s="8" t="n">
        <f aca="false">ABS(P48-Q48)</f>
        <v>192.975956519454</v>
      </c>
      <c r="AA48" s="13" t="n">
        <f aca="false">IF(J48&gt;0,T48^2,0)</f>
        <v>4.04579506774116E-005</v>
      </c>
    </row>
    <row r="49" customFormat="false" ht="15" hidden="false" customHeight="false" outlineLevel="0" collapsed="false">
      <c r="A49" s="11" t="s">
        <v>58</v>
      </c>
      <c r="B49" s="11" t="n">
        <v>2024</v>
      </c>
      <c r="C49" s="11" t="n">
        <v>2020</v>
      </c>
      <c r="D49" s="11" t="n">
        <v>2025</v>
      </c>
      <c r="E49" s="1" t="n">
        <f aca="false">D49-B49</f>
        <v>1</v>
      </c>
      <c r="F49" s="1" t="n">
        <f aca="false">B49-C49+1</f>
        <v>5</v>
      </c>
      <c r="G49" s="1" t="n">
        <f aca="false">D49-C49+1</f>
        <v>6</v>
      </c>
      <c r="H49" s="8" t="n">
        <f aca="false">INDEX(Data!$B$3:$T$21,MATCH(C49,Data!$A$3:$A$21,0),MATCH(B49,Data!$B$2:$T$2,0))</f>
        <v>99635</v>
      </c>
      <c r="I49" s="8" t="n">
        <f aca="false">INDEX(Data!$B$25:$T$43,MATCH(C49,Data!$A$3:$A$21,0),MATCH(B49,Data!$B$2:$T$2,0))</f>
        <v>41424</v>
      </c>
      <c r="J49" s="8" t="n">
        <f aca="false">H49+I49</f>
        <v>141059</v>
      </c>
      <c r="K49" s="3" t="n">
        <f aca="false">INDEX('pattern input'!$B$2:$AO$5,MATCH(A49&amp;"_"&amp;B49,'pattern input'!$A$2:$A$5,0),F49)</f>
        <v>0.713853132951729</v>
      </c>
      <c r="L49" s="3" t="n">
        <f aca="false">INDEX('pattern input'!$B$2:$AO$5,MATCH(A49&amp;"_"&amp;B49,'pattern input'!$A$2:$A$5,0),G49)</f>
        <v>0.853496337850895</v>
      </c>
      <c r="M49" s="8" t="n">
        <f aca="false">IF(K49&gt;=1,0,I49*(L49-INDEX('pattern input'!$B$2:$AO$5,MATCH(A49&amp;"_"&amp;B49,'pattern input'!$A$2:$A$5,0),G49-1))/(1-K49))</f>
        <v>20215.4235669728</v>
      </c>
      <c r="N49" s="8" t="n">
        <f aca="false">INDEX(Data!$B$3:$T$21,MATCH(C49,Data!$A$3:$A$21,0),MATCH(D49,Data!$B$2:$T$2,0))-INDEX(Data!$B$3:$T$21,MATCH(C49,Data!$A$3:$A$21,0),MATCH(D49-1,Data!$B$2:$T$2,0))</f>
        <v>0</v>
      </c>
      <c r="O49" s="9" t="n">
        <f aca="false">M49-N49</f>
        <v>20215.4235669728</v>
      </c>
      <c r="P49" s="8" t="n">
        <f aca="false">IF(K49&gt;=1,H49+I49,H49+I49*(L49-K49)/(1-K49))</f>
        <v>119850.423566973</v>
      </c>
      <c r="Q49" s="8" t="n">
        <f aca="false">INDEX(Data!$B$3:$T$21,MATCH(C49,Data!$A$3:$A$21,0),MATCH(D49,Data!$B$2:$T$2,0))</f>
        <v>99635</v>
      </c>
      <c r="R49" s="3" t="n">
        <f aca="false">IF(J49&gt;0,P49/J49,"")</f>
        <v>0.84964747777152</v>
      </c>
      <c r="S49" s="3" t="n">
        <f aca="false">IF(J49&gt;0,Q49/J49,"")</f>
        <v>0.706335646786097</v>
      </c>
      <c r="T49" s="6" t="n">
        <f aca="false">IF(J49&gt;0,R49-S49,"")</f>
        <v>0.143311830985423</v>
      </c>
      <c r="U49" s="1" t="s">
        <v>20</v>
      </c>
      <c r="V49" s="8" t="n">
        <f aca="false">ABS(O49)</f>
        <v>20215.4235669728</v>
      </c>
      <c r="W49" s="8" t="n">
        <f aca="false">O49^2</f>
        <v>408663349.992119</v>
      </c>
      <c r="X49" s="12" t="n">
        <f aca="false">IF(M49&gt;0,O49^2/M49,0)</f>
        <v>20215.4235669728</v>
      </c>
      <c r="Y49" s="8" t="n">
        <f aca="false">IF(V49&lt;=Metrics!$C$3,0.5*O49^2,Metrics!$C$3*(V49-0.5*Metrics!$C$3))</f>
        <v>152154235.669728</v>
      </c>
      <c r="Z49" s="8" t="n">
        <f aca="false">ABS(P49-Q49)</f>
        <v>20215.4235669728</v>
      </c>
      <c r="AA49" s="13" t="n">
        <f aca="false">IF(J49&gt;0,T49^2,0)</f>
        <v>0.0205382809003944</v>
      </c>
    </row>
    <row r="50" customFormat="false" ht="15" hidden="false" customHeight="false" outlineLevel="0" collapsed="false">
      <c r="A50" s="11" t="s">
        <v>58</v>
      </c>
      <c r="B50" s="11" t="n">
        <v>2024</v>
      </c>
      <c r="C50" s="11" t="n">
        <v>2021</v>
      </c>
      <c r="D50" s="11" t="n">
        <v>2025</v>
      </c>
      <c r="E50" s="1" t="n">
        <f aca="false">D50-B50</f>
        <v>1</v>
      </c>
      <c r="F50" s="1" t="n">
        <f aca="false">B50-C50+1</f>
        <v>4</v>
      </c>
      <c r="G50" s="1" t="n">
        <f aca="false">D50-C50+1</f>
        <v>5</v>
      </c>
      <c r="H50" s="8" t="n">
        <f aca="false">INDEX(Data!$B$3:$T$21,MATCH(C50,Data!$A$3:$A$21,0),MATCH(B50,Data!$B$2:$T$2,0))</f>
        <v>115040</v>
      </c>
      <c r="I50" s="8" t="n">
        <f aca="false">INDEX(Data!$B$25:$T$43,MATCH(C50,Data!$A$3:$A$21,0),MATCH(B50,Data!$B$2:$T$2,0))</f>
        <v>78856</v>
      </c>
      <c r="J50" s="8" t="n">
        <f aca="false">H50+I50</f>
        <v>193896</v>
      </c>
      <c r="K50" s="3" t="n">
        <f aca="false">INDEX('pattern input'!$B$2:$AO$5,MATCH(A50&amp;"_"&amp;B50,'pattern input'!$A$2:$A$5,0),F50)</f>
        <v>0.636261699499315</v>
      </c>
      <c r="L50" s="3" t="n">
        <f aca="false">INDEX('pattern input'!$B$2:$AO$5,MATCH(A50&amp;"_"&amp;B50,'pattern input'!$A$2:$A$5,0),G50)</f>
        <v>0.713853132951729</v>
      </c>
      <c r="M50" s="8" t="n">
        <f aca="false">IF(K50&gt;=1,0,I50*(L50-INDEX('pattern input'!$B$2:$AO$5,MATCH(A50&amp;"_"&amp;B50,'pattern input'!$A$2:$A$5,0),G50-1))/(1-K50))</f>
        <v>16821.2972565753</v>
      </c>
      <c r="N50" s="8" t="n">
        <f aca="false">INDEX(Data!$B$3:$T$21,MATCH(C50,Data!$A$3:$A$21,0),MATCH(D50,Data!$B$2:$T$2,0))-INDEX(Data!$B$3:$T$21,MATCH(C50,Data!$A$3:$A$21,0),MATCH(D50-1,Data!$B$2:$T$2,0))</f>
        <v>0</v>
      </c>
      <c r="O50" s="9" t="n">
        <f aca="false">M50-N50</f>
        <v>16821.2972565753</v>
      </c>
      <c r="P50" s="8" t="n">
        <f aca="false">IF(K50&gt;=1,H50+I50,H50+I50*(L50-K50)/(1-K50))</f>
        <v>131861.297256575</v>
      </c>
      <c r="Q50" s="8" t="n">
        <f aca="false">INDEX(Data!$B$3:$T$21,MATCH(C50,Data!$A$3:$A$21,0),MATCH(D50,Data!$B$2:$T$2,0))</f>
        <v>115040</v>
      </c>
      <c r="R50" s="3" t="n">
        <f aca="false">IF(J50&gt;0,P50/J50,"")</f>
        <v>0.68006197784676</v>
      </c>
      <c r="S50" s="3" t="n">
        <f aca="false">IF(J50&gt;0,Q50/J50,"")</f>
        <v>0.593307752609646</v>
      </c>
      <c r="T50" s="6" t="n">
        <f aca="false">IF(J50&gt;0,R50-S50,"")</f>
        <v>0.0867542252371134</v>
      </c>
      <c r="U50" s="1" t="s">
        <v>20</v>
      </c>
      <c r="V50" s="8" t="n">
        <f aca="false">ABS(O50)</f>
        <v>16821.2972565753</v>
      </c>
      <c r="W50" s="8" t="n">
        <f aca="false">O50^2</f>
        <v>282956041.394069</v>
      </c>
      <c r="X50" s="12" t="n">
        <f aca="false">IF(M50&gt;0,O50^2/M50,0)</f>
        <v>16821.2972565753</v>
      </c>
      <c r="Y50" s="8" t="n">
        <f aca="false">IF(V50&lt;=Metrics!$C$3,0.5*O50^2,Metrics!$C$3*(V50-0.5*Metrics!$C$3))</f>
        <v>118212972.565753</v>
      </c>
      <c r="Z50" s="8" t="n">
        <f aca="false">ABS(P50-Q50)</f>
        <v>16821.2972565753</v>
      </c>
      <c r="AA50" s="13" t="n">
        <f aca="false">IF(J50&gt;0,T50^2,0)</f>
        <v>0.0075262955964918</v>
      </c>
    </row>
    <row r="51" customFormat="false" ht="15" hidden="false" customHeight="false" outlineLevel="0" collapsed="false">
      <c r="A51" s="11" t="s">
        <v>58</v>
      </c>
      <c r="B51" s="11" t="n">
        <v>2024</v>
      </c>
      <c r="C51" s="11" t="n">
        <v>2022</v>
      </c>
      <c r="D51" s="11" t="n">
        <v>2025</v>
      </c>
      <c r="E51" s="1" t="n">
        <f aca="false">D51-B51</f>
        <v>1</v>
      </c>
      <c r="F51" s="1" t="n">
        <f aca="false">B51-C51+1</f>
        <v>3</v>
      </c>
      <c r="G51" s="1" t="n">
        <f aca="false">D51-C51+1</f>
        <v>4</v>
      </c>
      <c r="H51" s="8" t="n">
        <f aca="false">INDEX(Data!$B$3:$T$21,MATCH(C51,Data!$A$3:$A$21,0),MATCH(B51,Data!$B$2:$T$2,0))</f>
        <v>10620</v>
      </c>
      <c r="I51" s="8" t="n">
        <f aca="false">INDEX(Data!$B$25:$T$43,MATCH(C51,Data!$A$3:$A$21,0),MATCH(B51,Data!$B$2:$T$2,0))</f>
        <v>56028</v>
      </c>
      <c r="J51" s="8" t="n">
        <f aca="false">H51+I51</f>
        <v>66648</v>
      </c>
      <c r="K51" s="3" t="n">
        <f aca="false">INDEX('pattern input'!$B$2:$AO$5,MATCH(A51&amp;"_"&amp;B51,'pattern input'!$A$2:$A$5,0),F51)</f>
        <v>0.485124881337061</v>
      </c>
      <c r="L51" s="3" t="n">
        <f aca="false">INDEX('pattern input'!$B$2:$AO$5,MATCH(A51&amp;"_"&amp;B51,'pattern input'!$A$2:$A$5,0),G51)</f>
        <v>0.636261699499315</v>
      </c>
      <c r="M51" s="8" t="n">
        <f aca="false">IF(K51&gt;=1,0,I51*(L51-INDEX('pattern input'!$B$2:$AO$5,MATCH(A51&amp;"_"&amp;B51,'pattern input'!$A$2:$A$5,0),G51-1))/(1-K51))</f>
        <v>16446.5000172949</v>
      </c>
      <c r="N51" s="8" t="n">
        <f aca="false">INDEX(Data!$B$3:$T$21,MATCH(C51,Data!$A$3:$A$21,0),MATCH(D51,Data!$B$2:$T$2,0))-INDEX(Data!$B$3:$T$21,MATCH(C51,Data!$A$3:$A$21,0),MATCH(D51-1,Data!$B$2:$T$2,0))</f>
        <v>0</v>
      </c>
      <c r="O51" s="9" t="n">
        <f aca="false">M51-N51</f>
        <v>16446.5000172949</v>
      </c>
      <c r="P51" s="8" t="n">
        <f aca="false">IF(K51&gt;=1,H51+I51,H51+I51*(L51-K51)/(1-K51))</f>
        <v>27066.5000172949</v>
      </c>
      <c r="Q51" s="8" t="n">
        <f aca="false">INDEX(Data!$B$3:$T$21,MATCH(C51,Data!$A$3:$A$21,0),MATCH(D51,Data!$B$2:$T$2,0))</f>
        <v>10620</v>
      </c>
      <c r="R51" s="3" t="n">
        <f aca="false">IF(J51&gt;0,P51/J51,"")</f>
        <v>0.406111211398615</v>
      </c>
      <c r="S51" s="3" t="n">
        <f aca="false">IF(J51&gt;0,Q51/J51,"")</f>
        <v>0.159344616492618</v>
      </c>
      <c r="T51" s="6" t="n">
        <f aca="false">IF(J51&gt;0,R51-S51,"")</f>
        <v>0.246766594905997</v>
      </c>
      <c r="U51" s="1" t="s">
        <v>20</v>
      </c>
      <c r="V51" s="8" t="n">
        <f aca="false">ABS(O51)</f>
        <v>16446.5000172949</v>
      </c>
      <c r="W51" s="8" t="n">
        <f aca="false">O51^2</f>
        <v>270487362.818881</v>
      </c>
      <c r="X51" s="12" t="n">
        <f aca="false">IF(M51&gt;0,O51^2/M51,0)</f>
        <v>16446.5000172949</v>
      </c>
      <c r="Y51" s="8" t="n">
        <f aca="false">IF(V51&lt;=Metrics!$C$3,0.5*O51^2,Metrics!$C$3*(V51-0.5*Metrics!$C$3))</f>
        <v>114465000.172949</v>
      </c>
      <c r="Z51" s="8" t="n">
        <f aca="false">ABS(P51-Q51)</f>
        <v>16446.5000172949</v>
      </c>
      <c r="AA51" s="13" t="n">
        <f aca="false">IF(J51&gt;0,T51^2,0)</f>
        <v>0.0608937523615005</v>
      </c>
    </row>
    <row r="52" customFormat="false" ht="15" hidden="false" customHeight="false" outlineLevel="0" collapsed="false">
      <c r="A52" s="11" t="s">
        <v>58</v>
      </c>
      <c r="B52" s="11" t="n">
        <v>2024</v>
      </c>
      <c r="C52" s="11" t="n">
        <v>2023</v>
      </c>
      <c r="D52" s="11" t="n">
        <v>2025</v>
      </c>
      <c r="E52" s="1" t="n">
        <f aca="false">D52-B52</f>
        <v>1</v>
      </c>
      <c r="F52" s="1" t="n">
        <f aca="false">B52-C52+1</f>
        <v>2</v>
      </c>
      <c r="G52" s="1" t="n">
        <f aca="false">D52-C52+1</f>
        <v>3</v>
      </c>
      <c r="H52" s="8" t="n">
        <f aca="false">INDEX(Data!$B$3:$T$21,MATCH(C52,Data!$A$3:$A$21,0),MATCH(B52,Data!$B$2:$T$2,0))</f>
        <v>40273</v>
      </c>
      <c r="I52" s="8" t="n">
        <f aca="false">INDEX(Data!$B$25:$T$43,MATCH(C52,Data!$A$3:$A$21,0),MATCH(B52,Data!$B$2:$T$2,0))</f>
        <v>132306</v>
      </c>
      <c r="J52" s="8" t="n">
        <f aca="false">H52+I52</f>
        <v>172579</v>
      </c>
      <c r="K52" s="3" t="n">
        <f aca="false">INDEX('pattern input'!$B$2:$AO$5,MATCH(A52&amp;"_"&amp;B52,'pattern input'!$A$2:$A$5,0),F52)</f>
        <v>0.369008487835145</v>
      </c>
      <c r="L52" s="3" t="n">
        <f aca="false">INDEX('pattern input'!$B$2:$AO$5,MATCH(A52&amp;"_"&amp;B52,'pattern input'!$A$2:$A$5,0),G52)</f>
        <v>0.485124881337061</v>
      </c>
      <c r="M52" s="8" t="n">
        <f aca="false">IF(K52&gt;=1,0,I52*(L52-INDEX('pattern input'!$B$2:$AO$5,MATCH(A52&amp;"_"&amp;B52,'pattern input'!$A$2:$A$5,0),G52-1))/(1-K52))</f>
        <v>24347.2301330272</v>
      </c>
      <c r="N52" s="8" t="n">
        <f aca="false">INDEX(Data!$B$3:$T$21,MATCH(C52,Data!$A$3:$A$21,0),MATCH(D52,Data!$B$2:$T$2,0))-INDEX(Data!$B$3:$T$21,MATCH(C52,Data!$A$3:$A$21,0),MATCH(D52-1,Data!$B$2:$T$2,0))</f>
        <v>0</v>
      </c>
      <c r="O52" s="9" t="n">
        <f aca="false">M52-N52</f>
        <v>24347.2301330272</v>
      </c>
      <c r="P52" s="8" t="n">
        <f aca="false">IF(K52&gt;=1,H52+I52,H52+I52*(L52-K52)/(1-K52))</f>
        <v>64620.2301330272</v>
      </c>
      <c r="Q52" s="8" t="n">
        <f aca="false">INDEX(Data!$B$3:$T$21,MATCH(C52,Data!$A$3:$A$21,0),MATCH(D52,Data!$B$2:$T$2,0))</f>
        <v>40273</v>
      </c>
      <c r="R52" s="3" t="n">
        <f aca="false">IF(J52&gt;0,P52/J52,"")</f>
        <v>0.374438547755099</v>
      </c>
      <c r="S52" s="3" t="n">
        <f aca="false">IF(J52&gt;0,Q52/J52,"")</f>
        <v>0.233359794644771</v>
      </c>
      <c r="T52" s="6" t="n">
        <f aca="false">IF(J52&gt;0,R52-S52,"")</f>
        <v>0.141078753110327</v>
      </c>
      <c r="U52" s="1" t="s">
        <v>20</v>
      </c>
      <c r="V52" s="8" t="n">
        <f aca="false">ABS(O52)</f>
        <v>24347.2301330272</v>
      </c>
      <c r="W52" s="8" t="n">
        <f aca="false">O52^2</f>
        <v>592787615.150587</v>
      </c>
      <c r="X52" s="12" t="n">
        <f aca="false">IF(M52&gt;0,O52^2/M52,0)</f>
        <v>24347.2301330272</v>
      </c>
      <c r="Y52" s="8" t="n">
        <f aca="false">IF(V52&lt;=Metrics!$C$3,0.5*O52^2,Metrics!$C$3*(V52-0.5*Metrics!$C$3))</f>
        <v>193472301.330272</v>
      </c>
      <c r="Z52" s="8" t="n">
        <f aca="false">ABS(P52-Q52)</f>
        <v>24347.2301330272</v>
      </c>
      <c r="AA52" s="13" t="n">
        <f aca="false">IF(J52&gt;0,T52^2,0)</f>
        <v>0.0199032145791647</v>
      </c>
    </row>
    <row r="53" customFormat="false" ht="15" hidden="false" customHeight="false" outlineLevel="0" collapsed="false">
      <c r="A53" s="11" t="s">
        <v>58</v>
      </c>
      <c r="B53" s="11" t="n">
        <v>2024</v>
      </c>
      <c r="C53" s="11" t="n">
        <v>2024</v>
      </c>
      <c r="D53" s="11" t="n">
        <v>2025</v>
      </c>
      <c r="E53" s="1" t="n">
        <f aca="false">D53-B53</f>
        <v>1</v>
      </c>
      <c r="F53" s="1" t="n">
        <f aca="false">B53-C53+1</f>
        <v>1</v>
      </c>
      <c r="G53" s="1" t="n">
        <f aca="false">D53-C53+1</f>
        <v>2</v>
      </c>
      <c r="H53" s="8" t="n">
        <f aca="false">INDEX(Data!$B$3:$T$21,MATCH(C53,Data!$A$3:$A$21,0),MATCH(B53,Data!$B$2:$T$2,0))</f>
        <v>5905</v>
      </c>
      <c r="I53" s="8" t="n">
        <f aca="false">INDEX(Data!$B$25:$T$43,MATCH(C53,Data!$A$3:$A$21,0),MATCH(B53,Data!$B$2:$T$2,0))</f>
        <v>1786</v>
      </c>
      <c r="J53" s="8" t="n">
        <f aca="false">H53+I53</f>
        <v>7691</v>
      </c>
      <c r="K53" s="3" t="n">
        <f aca="false">INDEX('pattern input'!$B$2:$AO$5,MATCH(A53&amp;"_"&amp;B53,'pattern input'!$A$2:$A$5,0),F53)</f>
        <v>0.0938035665022449</v>
      </c>
      <c r="L53" s="3" t="n">
        <f aca="false">INDEX('pattern input'!$B$2:$AO$5,MATCH(A53&amp;"_"&amp;B53,'pattern input'!$A$2:$A$5,0),G53)</f>
        <v>0.369008487835145</v>
      </c>
      <c r="M53" s="8" t="n">
        <f aca="false">IF(K53&gt;=1,0,I53*(L53-INDEX('pattern input'!$B$2:$AO$5,MATCH(A53&amp;"_"&amp;B53,'pattern input'!$A$2:$A$5,0),G53-1))/(1-K53))</f>
        <v>542.394530955497</v>
      </c>
      <c r="N53" s="8" t="n">
        <f aca="false">INDEX(Data!$B$3:$T$21,MATCH(C53,Data!$A$3:$A$21,0),MATCH(D53,Data!$B$2:$T$2,0))-INDEX(Data!$B$3:$T$21,MATCH(C53,Data!$A$3:$A$21,0),MATCH(D53-1,Data!$B$2:$T$2,0))</f>
        <v>1</v>
      </c>
      <c r="O53" s="9" t="n">
        <f aca="false">M53-N53</f>
        <v>541.394530955497</v>
      </c>
      <c r="P53" s="8" t="n">
        <f aca="false">IF(K53&gt;=1,H53+I53,H53+I53*(L53-K53)/(1-K53))</f>
        <v>6447.3945309555</v>
      </c>
      <c r="Q53" s="8" t="n">
        <f aca="false">INDEX(Data!$B$3:$T$21,MATCH(C53,Data!$A$3:$A$21,0),MATCH(D53,Data!$B$2:$T$2,0))</f>
        <v>5906</v>
      </c>
      <c r="R53" s="3" t="n">
        <f aca="false">IF(J53&gt;0,P53/J53,"")</f>
        <v>0.838303800670329</v>
      </c>
      <c r="S53" s="3" t="n">
        <f aca="false">IF(J53&gt;0,Q53/J53,"")</f>
        <v>0.767910544792615</v>
      </c>
      <c r="T53" s="6" t="n">
        <f aca="false">IF(J53&gt;0,R53-S53,"")</f>
        <v>0.0703932558777138</v>
      </c>
      <c r="U53" s="1" t="s">
        <v>20</v>
      </c>
      <c r="V53" s="8" t="n">
        <f aca="false">ABS(O53)</f>
        <v>541.394530955497</v>
      </c>
      <c r="W53" s="8" t="n">
        <f aca="false">O53^2</f>
        <v>293108.038148523</v>
      </c>
      <c r="X53" s="12" t="n">
        <f aca="false">IF(M53&gt;0,O53^2/M53,0)</f>
        <v>540.396374631904</v>
      </c>
      <c r="Y53" s="8" t="n">
        <f aca="false">IF(V53&lt;=Metrics!$C$3,0.5*O53^2,Metrics!$C$3*(V53-0.5*Metrics!$C$3))</f>
        <v>146554.019074261</v>
      </c>
      <c r="Z53" s="8" t="n">
        <f aca="false">ABS(P53-Q53)</f>
        <v>541.394530955497</v>
      </c>
      <c r="AA53" s="13" t="n">
        <f aca="false">IF(J53&gt;0,T53^2,0)</f>
        <v>0.00495521047306529</v>
      </c>
    </row>
    <row r="54" customFormat="false" ht="15" hidden="false" customHeight="false" outlineLevel="0" collapsed="false">
      <c r="A54" s="11" t="s">
        <v>63</v>
      </c>
      <c r="B54" s="11" t="n">
        <v>2023</v>
      </c>
      <c r="C54" s="11" t="n">
        <v>2007</v>
      </c>
      <c r="D54" s="11" t="n">
        <v>2024</v>
      </c>
      <c r="E54" s="1" t="n">
        <f aca="false">D54-B54</f>
        <v>1</v>
      </c>
      <c r="F54" s="1" t="n">
        <f aca="false">B54-C54+1</f>
        <v>17</v>
      </c>
      <c r="G54" s="1" t="n">
        <f aca="false">D54-C54+1</f>
        <v>18</v>
      </c>
      <c r="H54" s="8" t="n">
        <f aca="false">INDEX(Data!$B$3:$T$21,MATCH(C54,Data!$A$3:$A$21,0),MATCH(B54,Data!$B$2:$T$2,0))</f>
        <v>1382</v>
      </c>
      <c r="I54" s="8" t="n">
        <f aca="false">INDEX(Data!$B$25:$T$43,MATCH(C54,Data!$A$3:$A$21,0),MATCH(B54,Data!$B$2:$T$2,0))</f>
        <v>0</v>
      </c>
      <c r="J54" s="8" t="n">
        <f aca="false">H54+I54</f>
        <v>1382</v>
      </c>
      <c r="K54" s="3" t="n">
        <f aca="false">INDEX('pattern input'!$B$2:$AO$5,MATCH(A54&amp;"_"&amp;B54,'pattern input'!$A$2:$A$5,0),F54)</f>
        <v>0.988297436860689</v>
      </c>
      <c r="L54" s="3" t="n">
        <f aca="false">INDEX('pattern input'!$B$2:$AO$5,MATCH(A54&amp;"_"&amp;B54,'pattern input'!$A$2:$A$5,0),G54)</f>
        <v>1</v>
      </c>
      <c r="M54" s="8" t="n">
        <f aca="false">IF(K54&gt;=1,0,I54*(L54-INDEX('pattern input'!$B$2:$AO$5,MATCH(A54&amp;"_"&amp;B54,'pattern input'!$A$2:$A$5,0),G54-1))/(1-K54))</f>
        <v>0</v>
      </c>
      <c r="N54" s="8" t="n">
        <f aca="false">INDEX(Data!$B$3:$T$21,MATCH(C54,Data!$A$3:$A$21,0),MATCH(D54,Data!$B$2:$T$2,0))-INDEX(Data!$B$3:$T$21,MATCH(C54,Data!$A$3:$A$21,0),MATCH(D54-1,Data!$B$2:$T$2,0))</f>
        <v>0</v>
      </c>
      <c r="O54" s="9" t="n">
        <f aca="false">M54-N54</f>
        <v>0</v>
      </c>
      <c r="P54" s="8" t="n">
        <f aca="false">IF(K54&gt;=1,H54+I54,H54+I54*(L54-K54)/(1-K54))</f>
        <v>1382</v>
      </c>
      <c r="Q54" s="8" t="n">
        <f aca="false">INDEX(Data!$B$3:$T$21,MATCH(C54,Data!$A$3:$A$21,0),MATCH(D54,Data!$B$2:$T$2,0))</f>
        <v>1382</v>
      </c>
      <c r="R54" s="3" t="n">
        <f aca="false">IF(J54&gt;0,P54/J54,"")</f>
        <v>1</v>
      </c>
      <c r="S54" s="3" t="n">
        <f aca="false">IF(J54&gt;0,Q54/J54,"")</f>
        <v>1</v>
      </c>
      <c r="T54" s="6" t="n">
        <f aca="false">IF(J54&gt;0,R54-S54,"")</f>
        <v>0</v>
      </c>
      <c r="U54" s="1" t="s">
        <v>20</v>
      </c>
      <c r="V54" s="8" t="n">
        <f aca="false">ABS(O54)</f>
        <v>0</v>
      </c>
      <c r="W54" s="8" t="n">
        <f aca="false">O54^2</f>
        <v>0</v>
      </c>
      <c r="X54" s="12" t="n">
        <f aca="false">IF(M54&gt;0,O54^2/M54,0)</f>
        <v>0</v>
      </c>
      <c r="Y54" s="8" t="n">
        <f aca="false">IF(V54&lt;=Metrics!$C$3,0.5*O54^2,Metrics!$C$3*(V54-0.5*Metrics!$C$3))</f>
        <v>0</v>
      </c>
      <c r="Z54" s="8" t="n">
        <f aca="false">ABS(P54-Q54)</f>
        <v>0</v>
      </c>
      <c r="AA54" s="13" t="n">
        <f aca="false">IF(J54&gt;0,T54^2,0)</f>
        <v>0</v>
      </c>
    </row>
    <row r="55" customFormat="false" ht="15" hidden="false" customHeight="false" outlineLevel="0" collapsed="false">
      <c r="A55" s="11" t="s">
        <v>63</v>
      </c>
      <c r="B55" s="11" t="n">
        <v>2023</v>
      </c>
      <c r="C55" s="11" t="n">
        <v>2007</v>
      </c>
      <c r="D55" s="11" t="n">
        <v>2025</v>
      </c>
      <c r="E55" s="1" t="n">
        <f aca="false">D55-B55</f>
        <v>2</v>
      </c>
      <c r="F55" s="1" t="n">
        <f aca="false">B55-C55+1</f>
        <v>17</v>
      </c>
      <c r="G55" s="1" t="n">
        <f aca="false">D55-C55+1</f>
        <v>19</v>
      </c>
      <c r="H55" s="8" t="n">
        <f aca="false">INDEX(Data!$B$3:$T$21,MATCH(C55,Data!$A$3:$A$21,0),MATCH(B55,Data!$B$2:$T$2,0))</f>
        <v>1382</v>
      </c>
      <c r="I55" s="8" t="n">
        <f aca="false">INDEX(Data!$B$25:$T$43,MATCH(C55,Data!$A$3:$A$21,0),MATCH(B55,Data!$B$2:$T$2,0))</f>
        <v>0</v>
      </c>
      <c r="J55" s="8" t="n">
        <f aca="false">H55+I55</f>
        <v>1382</v>
      </c>
      <c r="K55" s="3" t="n">
        <f aca="false">INDEX('pattern input'!$B$2:$AO$5,MATCH(A55&amp;"_"&amp;B55,'pattern input'!$A$2:$A$5,0),F55)</f>
        <v>0.988297436860689</v>
      </c>
      <c r="L55" s="3" t="n">
        <f aca="false">INDEX('pattern input'!$B$2:$AO$5,MATCH(A55&amp;"_"&amp;B55,'pattern input'!$A$2:$A$5,0),G55)</f>
        <v>1</v>
      </c>
      <c r="M55" s="8" t="n">
        <f aca="false">IF(K55&gt;=1,0,I55*(L55-INDEX('pattern input'!$B$2:$AO$5,MATCH(A55&amp;"_"&amp;B55,'pattern input'!$A$2:$A$5,0),G55-1))/(1-K55))</f>
        <v>0</v>
      </c>
      <c r="N55" s="8" t="n">
        <f aca="false">INDEX(Data!$B$3:$T$21,MATCH(C55,Data!$A$3:$A$21,0),MATCH(D55,Data!$B$2:$T$2,0))-INDEX(Data!$B$3:$T$21,MATCH(C55,Data!$A$3:$A$21,0),MATCH(D55-1,Data!$B$2:$T$2,0))</f>
        <v>0</v>
      </c>
      <c r="O55" s="9" t="n">
        <f aca="false">M55-N55</f>
        <v>0</v>
      </c>
      <c r="P55" s="8" t="n">
        <f aca="false">IF(K55&gt;=1,H55+I55,H55+I55*(L55-K55)/(1-K55))</f>
        <v>1382</v>
      </c>
      <c r="Q55" s="8" t="n">
        <f aca="false">INDEX(Data!$B$3:$T$21,MATCH(C55,Data!$A$3:$A$21,0),MATCH(D55,Data!$B$2:$T$2,0))</f>
        <v>1382</v>
      </c>
      <c r="R55" s="3" t="n">
        <f aca="false">IF(J55&gt;0,P55/J55,"")</f>
        <v>1</v>
      </c>
      <c r="S55" s="3" t="n">
        <f aca="false">IF(J55&gt;0,Q55/J55,"")</f>
        <v>1</v>
      </c>
      <c r="T55" s="6" t="n">
        <f aca="false">IF(J55&gt;0,R55-S55,"")</f>
        <v>0</v>
      </c>
      <c r="U55" s="1" t="s">
        <v>20</v>
      </c>
      <c r="V55" s="8" t="n">
        <f aca="false">ABS(O55)</f>
        <v>0</v>
      </c>
      <c r="W55" s="8" t="n">
        <f aca="false">O55^2</f>
        <v>0</v>
      </c>
      <c r="X55" s="12" t="n">
        <f aca="false">IF(M55&gt;0,O55^2/M55,0)</f>
        <v>0</v>
      </c>
      <c r="Y55" s="8" t="n">
        <f aca="false">IF(V55&lt;=Metrics!$C$3,0.5*O55^2,Metrics!$C$3*(V55-0.5*Metrics!$C$3))</f>
        <v>0</v>
      </c>
      <c r="Z55" s="8" t="n">
        <f aca="false">ABS(P55-Q55)</f>
        <v>0</v>
      </c>
      <c r="AA55" s="13" t="n">
        <f aca="false">IF(J55&gt;0,T55^2,0)</f>
        <v>0</v>
      </c>
    </row>
    <row r="56" customFormat="false" ht="15" hidden="false" customHeight="false" outlineLevel="0" collapsed="false">
      <c r="A56" s="11" t="s">
        <v>63</v>
      </c>
      <c r="B56" s="11" t="n">
        <v>2023</v>
      </c>
      <c r="C56" s="11" t="n">
        <v>2008</v>
      </c>
      <c r="D56" s="11" t="n">
        <v>2024</v>
      </c>
      <c r="E56" s="1" t="n">
        <f aca="false">D56-B56</f>
        <v>1</v>
      </c>
      <c r="F56" s="1" t="n">
        <f aca="false">B56-C56+1</f>
        <v>16</v>
      </c>
      <c r="G56" s="1" t="n">
        <f aca="false">D56-C56+1</f>
        <v>17</v>
      </c>
      <c r="H56" s="8" t="n">
        <f aca="false">INDEX(Data!$B$3:$T$21,MATCH(C56,Data!$A$3:$A$21,0),MATCH(B56,Data!$B$2:$T$2,0))</f>
        <v>9472</v>
      </c>
      <c r="I56" s="8" t="n">
        <f aca="false">INDEX(Data!$B$25:$T$43,MATCH(C56,Data!$A$3:$A$21,0),MATCH(B56,Data!$B$2:$T$2,0))</f>
        <v>3</v>
      </c>
      <c r="J56" s="8" t="n">
        <f aca="false">H56+I56</f>
        <v>9475</v>
      </c>
      <c r="K56" s="3" t="n">
        <f aca="false">INDEX('pattern input'!$B$2:$AO$5,MATCH(A56&amp;"_"&amp;B56,'pattern input'!$A$2:$A$5,0),F56)</f>
        <v>0.975885205363322</v>
      </c>
      <c r="L56" s="3" t="n">
        <f aca="false">INDEX('pattern input'!$B$2:$AO$5,MATCH(A56&amp;"_"&amp;B56,'pattern input'!$A$2:$A$5,0),G56)</f>
        <v>0.988297436860689</v>
      </c>
      <c r="M56" s="8" t="n">
        <f aca="false">IF(K56&gt;=1,0,I56*(L56-INDEX('pattern input'!$B$2:$AO$5,MATCH(A56&amp;"_"&amp;B56,'pattern input'!$A$2:$A$5,0),G56-1))/(1-K56))</f>
        <v>1.54414313093355</v>
      </c>
      <c r="N56" s="8" t="n">
        <f aca="false">INDEX(Data!$B$3:$T$21,MATCH(C56,Data!$A$3:$A$21,0),MATCH(D56,Data!$B$2:$T$2,0))-INDEX(Data!$B$3:$T$21,MATCH(C56,Data!$A$3:$A$21,0),MATCH(D56-1,Data!$B$2:$T$2,0))</f>
        <v>0</v>
      </c>
      <c r="O56" s="9" t="n">
        <f aca="false">M56-N56</f>
        <v>1.54414313093355</v>
      </c>
      <c r="P56" s="8" t="n">
        <f aca="false">IF(K56&gt;=1,H56+I56,H56+I56*(L56-K56)/(1-K56))</f>
        <v>9473.54414313093</v>
      </c>
      <c r="Q56" s="8" t="n">
        <f aca="false">INDEX(Data!$B$3:$T$21,MATCH(C56,Data!$A$3:$A$21,0),MATCH(D56,Data!$B$2:$T$2,0))</f>
        <v>9472</v>
      </c>
      <c r="R56" s="3" t="n">
        <f aca="false">IF(J56&gt;0,P56/J56,"")</f>
        <v>0.999846347559993</v>
      </c>
      <c r="S56" s="3" t="n">
        <f aca="false">IF(J56&gt;0,Q56/J56,"")</f>
        <v>0.999683377308707</v>
      </c>
      <c r="T56" s="6" t="n">
        <f aca="false">IF(J56&gt;0,R56-S56,"")</f>
        <v>0.000162970251285866</v>
      </c>
      <c r="U56" s="1" t="s">
        <v>20</v>
      </c>
      <c r="V56" s="8" t="n">
        <f aca="false">ABS(O56)</f>
        <v>1.54414313093355</v>
      </c>
      <c r="W56" s="8" t="n">
        <f aca="false">O56^2</f>
        <v>2.38437800880928</v>
      </c>
      <c r="X56" s="12" t="n">
        <f aca="false">IF(M56&gt;0,O56^2/M56,0)</f>
        <v>1.54414313093355</v>
      </c>
      <c r="Y56" s="8" t="n">
        <f aca="false">IF(V56&lt;=Metrics!$C$3,0.5*O56^2,Metrics!$C$3*(V56-0.5*Metrics!$C$3))</f>
        <v>1.19218900440464</v>
      </c>
      <c r="Z56" s="8" t="n">
        <f aca="false">ABS(P56-Q56)</f>
        <v>1.54414313093366</v>
      </c>
      <c r="AA56" s="13" t="n">
        <f aca="false">IF(J56&gt;0,T56^2,0)</f>
        <v>2.65593028041782E-008</v>
      </c>
    </row>
    <row r="57" customFormat="false" ht="15" hidden="false" customHeight="false" outlineLevel="0" collapsed="false">
      <c r="A57" s="11" t="s">
        <v>63</v>
      </c>
      <c r="B57" s="11" t="n">
        <v>2023</v>
      </c>
      <c r="C57" s="11" t="n">
        <v>2008</v>
      </c>
      <c r="D57" s="11" t="n">
        <v>2025</v>
      </c>
      <c r="E57" s="1" t="n">
        <f aca="false">D57-B57</f>
        <v>2</v>
      </c>
      <c r="F57" s="1" t="n">
        <f aca="false">B57-C57+1</f>
        <v>16</v>
      </c>
      <c r="G57" s="1" t="n">
        <f aca="false">D57-C57+1</f>
        <v>18</v>
      </c>
      <c r="H57" s="8" t="n">
        <f aca="false">INDEX(Data!$B$3:$T$21,MATCH(C57,Data!$A$3:$A$21,0),MATCH(B57,Data!$B$2:$T$2,0))</f>
        <v>9472</v>
      </c>
      <c r="I57" s="8" t="n">
        <f aca="false">INDEX(Data!$B$25:$T$43,MATCH(C57,Data!$A$3:$A$21,0),MATCH(B57,Data!$B$2:$T$2,0))</f>
        <v>3</v>
      </c>
      <c r="J57" s="8" t="n">
        <f aca="false">H57+I57</f>
        <v>9475</v>
      </c>
      <c r="K57" s="3" t="n">
        <f aca="false">INDEX('pattern input'!$B$2:$AO$5,MATCH(A57&amp;"_"&amp;B57,'pattern input'!$A$2:$A$5,0),F57)</f>
        <v>0.975885205363322</v>
      </c>
      <c r="L57" s="3" t="n">
        <f aca="false">INDEX('pattern input'!$B$2:$AO$5,MATCH(A57&amp;"_"&amp;B57,'pattern input'!$A$2:$A$5,0),G57)</f>
        <v>1</v>
      </c>
      <c r="M57" s="8" t="n">
        <f aca="false">IF(K57&gt;=1,0,I57*(L57-INDEX('pattern input'!$B$2:$AO$5,MATCH(A57&amp;"_"&amp;B57,'pattern input'!$A$2:$A$5,0),G57-1))/(1-K57))</f>
        <v>1.45585686906645</v>
      </c>
      <c r="N57" s="8" t="n">
        <f aca="false">INDEX(Data!$B$3:$T$21,MATCH(C57,Data!$A$3:$A$21,0),MATCH(D57,Data!$B$2:$T$2,0))-INDEX(Data!$B$3:$T$21,MATCH(C57,Data!$A$3:$A$21,0),MATCH(D57-1,Data!$B$2:$T$2,0))</f>
        <v>0</v>
      </c>
      <c r="O57" s="9" t="n">
        <f aca="false">M57-N57</f>
        <v>1.45585686906645</v>
      </c>
      <c r="P57" s="8" t="n">
        <f aca="false">IF(K57&gt;=1,H57+I57,H57+I57*(L57-K57)/(1-K57))</f>
        <v>9475</v>
      </c>
      <c r="Q57" s="8" t="n">
        <f aca="false">INDEX(Data!$B$3:$T$21,MATCH(C57,Data!$A$3:$A$21,0),MATCH(D57,Data!$B$2:$T$2,0))</f>
        <v>9472</v>
      </c>
      <c r="R57" s="3" t="n">
        <f aca="false">IF(J57&gt;0,P57/J57,"")</f>
        <v>1</v>
      </c>
      <c r="S57" s="3" t="n">
        <f aca="false">IF(J57&gt;0,Q57/J57,"")</f>
        <v>0.999683377308707</v>
      </c>
      <c r="T57" s="6" t="n">
        <f aca="false">IF(J57&gt;0,R57-S57,"")</f>
        <v>0.000316622691292845</v>
      </c>
      <c r="U57" s="1" t="s">
        <v>20</v>
      </c>
      <c r="V57" s="8" t="n">
        <f aca="false">ABS(O57)</f>
        <v>1.45585686906645</v>
      </c>
      <c r="W57" s="8" t="n">
        <f aca="false">O57^2</f>
        <v>2.11951922320796</v>
      </c>
      <c r="X57" s="12" t="n">
        <f aca="false">IF(M57&gt;0,O57^2/M57,0)</f>
        <v>1.45585686906645</v>
      </c>
      <c r="Y57" s="8" t="n">
        <f aca="false">IF(V57&lt;=Metrics!$C$3,0.5*O57^2,Metrics!$C$3*(V57-0.5*Metrics!$C$3))</f>
        <v>1.05975961160398</v>
      </c>
      <c r="Z57" s="8" t="n">
        <f aca="false">ABS(P57-Q57)</f>
        <v>3</v>
      </c>
      <c r="AA57" s="13" t="n">
        <f aca="false">IF(J57&gt;0,T57^2,0)</f>
        <v>1.00249928641524E-007</v>
      </c>
    </row>
    <row r="58" customFormat="false" ht="15" hidden="false" customHeight="false" outlineLevel="0" collapsed="false">
      <c r="A58" s="11" t="s">
        <v>63</v>
      </c>
      <c r="B58" s="11" t="n">
        <v>2023</v>
      </c>
      <c r="C58" s="11" t="n">
        <v>2009</v>
      </c>
      <c r="D58" s="11" t="n">
        <v>2024</v>
      </c>
      <c r="E58" s="1" t="n">
        <f aca="false">D58-B58</f>
        <v>1</v>
      </c>
      <c r="F58" s="1" t="n">
        <f aca="false">B58-C58+1</f>
        <v>15</v>
      </c>
      <c r="G58" s="1" t="n">
        <f aca="false">D58-C58+1</f>
        <v>16</v>
      </c>
      <c r="H58" s="8" t="n">
        <f aca="false">INDEX(Data!$B$3:$T$21,MATCH(C58,Data!$A$3:$A$21,0),MATCH(B58,Data!$B$2:$T$2,0))</f>
        <v>8788</v>
      </c>
      <c r="I58" s="8" t="n">
        <f aca="false">INDEX(Data!$B$25:$T$43,MATCH(C58,Data!$A$3:$A$21,0),MATCH(B58,Data!$B$2:$T$2,0))</f>
        <v>0</v>
      </c>
      <c r="J58" s="8" t="n">
        <f aca="false">H58+I58</f>
        <v>8788</v>
      </c>
      <c r="K58" s="3" t="n">
        <f aca="false">INDEX('pattern input'!$B$2:$AO$5,MATCH(A58&amp;"_"&amp;B58,'pattern input'!$A$2:$A$5,0),F58)</f>
        <v>0.962671645577617</v>
      </c>
      <c r="L58" s="3" t="n">
        <f aca="false">INDEX('pattern input'!$B$2:$AO$5,MATCH(A58&amp;"_"&amp;B58,'pattern input'!$A$2:$A$5,0),G58)</f>
        <v>0.975885205363322</v>
      </c>
      <c r="M58" s="8" t="n">
        <f aca="false">IF(K58&gt;=1,0,I58*(L58-INDEX('pattern input'!$B$2:$AO$5,MATCH(A58&amp;"_"&amp;B58,'pattern input'!$A$2:$A$5,0),G58-1))/(1-K58))</f>
        <v>0</v>
      </c>
      <c r="N58" s="8" t="n">
        <f aca="false">INDEX(Data!$B$3:$T$21,MATCH(C58,Data!$A$3:$A$21,0),MATCH(D58,Data!$B$2:$T$2,0))-INDEX(Data!$B$3:$T$21,MATCH(C58,Data!$A$3:$A$21,0),MATCH(D58-1,Data!$B$2:$T$2,0))</f>
        <v>0</v>
      </c>
      <c r="O58" s="9" t="n">
        <f aca="false">M58-N58</f>
        <v>0</v>
      </c>
      <c r="P58" s="8" t="n">
        <f aca="false">IF(K58&gt;=1,H58+I58,H58+I58*(L58-K58)/(1-K58))</f>
        <v>8788</v>
      </c>
      <c r="Q58" s="8" t="n">
        <f aca="false">INDEX(Data!$B$3:$T$21,MATCH(C58,Data!$A$3:$A$21,0),MATCH(D58,Data!$B$2:$T$2,0))</f>
        <v>8788</v>
      </c>
      <c r="R58" s="3" t="n">
        <f aca="false">IF(J58&gt;0,P58/J58,"")</f>
        <v>1</v>
      </c>
      <c r="S58" s="3" t="n">
        <f aca="false">IF(J58&gt;0,Q58/J58,"")</f>
        <v>1</v>
      </c>
      <c r="T58" s="6" t="n">
        <f aca="false">IF(J58&gt;0,R58-S58,"")</f>
        <v>0</v>
      </c>
      <c r="U58" s="1" t="s">
        <v>20</v>
      </c>
      <c r="V58" s="8" t="n">
        <f aca="false">ABS(O58)</f>
        <v>0</v>
      </c>
      <c r="W58" s="8" t="n">
        <f aca="false">O58^2</f>
        <v>0</v>
      </c>
      <c r="X58" s="12" t="n">
        <f aca="false">IF(M58&gt;0,O58^2/M58,0)</f>
        <v>0</v>
      </c>
      <c r="Y58" s="8" t="n">
        <f aca="false">IF(V58&lt;=Metrics!$C$3,0.5*O58^2,Metrics!$C$3*(V58-0.5*Metrics!$C$3))</f>
        <v>0</v>
      </c>
      <c r="Z58" s="8" t="n">
        <f aca="false">ABS(P58-Q58)</f>
        <v>0</v>
      </c>
      <c r="AA58" s="13" t="n">
        <f aca="false">IF(J58&gt;0,T58^2,0)</f>
        <v>0</v>
      </c>
    </row>
    <row r="59" customFormat="false" ht="15" hidden="false" customHeight="false" outlineLevel="0" collapsed="false">
      <c r="A59" s="11" t="s">
        <v>63</v>
      </c>
      <c r="B59" s="11" t="n">
        <v>2023</v>
      </c>
      <c r="C59" s="11" t="n">
        <v>2009</v>
      </c>
      <c r="D59" s="11" t="n">
        <v>2025</v>
      </c>
      <c r="E59" s="1" t="n">
        <f aca="false">D59-B59</f>
        <v>2</v>
      </c>
      <c r="F59" s="1" t="n">
        <f aca="false">B59-C59+1</f>
        <v>15</v>
      </c>
      <c r="G59" s="1" t="n">
        <f aca="false">D59-C59+1</f>
        <v>17</v>
      </c>
      <c r="H59" s="8" t="n">
        <f aca="false">INDEX(Data!$B$3:$T$21,MATCH(C59,Data!$A$3:$A$21,0),MATCH(B59,Data!$B$2:$T$2,0))</f>
        <v>8788</v>
      </c>
      <c r="I59" s="8" t="n">
        <f aca="false">INDEX(Data!$B$25:$T$43,MATCH(C59,Data!$A$3:$A$21,0),MATCH(B59,Data!$B$2:$T$2,0))</f>
        <v>0</v>
      </c>
      <c r="J59" s="8" t="n">
        <f aca="false">H59+I59</f>
        <v>8788</v>
      </c>
      <c r="K59" s="3" t="n">
        <f aca="false">INDEX('pattern input'!$B$2:$AO$5,MATCH(A59&amp;"_"&amp;B59,'pattern input'!$A$2:$A$5,0),F59)</f>
        <v>0.962671645577617</v>
      </c>
      <c r="L59" s="3" t="n">
        <f aca="false">INDEX('pattern input'!$B$2:$AO$5,MATCH(A59&amp;"_"&amp;B59,'pattern input'!$A$2:$A$5,0),G59)</f>
        <v>0.988297436860689</v>
      </c>
      <c r="M59" s="8" t="n">
        <f aca="false">IF(K59&gt;=1,0,I59*(L59-INDEX('pattern input'!$B$2:$AO$5,MATCH(A59&amp;"_"&amp;B59,'pattern input'!$A$2:$A$5,0),G59-1))/(1-K59))</f>
        <v>0</v>
      </c>
      <c r="N59" s="8" t="n">
        <f aca="false">INDEX(Data!$B$3:$T$21,MATCH(C59,Data!$A$3:$A$21,0),MATCH(D59,Data!$B$2:$T$2,0))-INDEX(Data!$B$3:$T$21,MATCH(C59,Data!$A$3:$A$21,0),MATCH(D59-1,Data!$B$2:$T$2,0))</f>
        <v>0</v>
      </c>
      <c r="O59" s="9" t="n">
        <f aca="false">M59-N59</f>
        <v>0</v>
      </c>
      <c r="P59" s="8" t="n">
        <f aca="false">IF(K59&gt;=1,H59+I59,H59+I59*(L59-K59)/(1-K59))</f>
        <v>8788</v>
      </c>
      <c r="Q59" s="8" t="n">
        <f aca="false">INDEX(Data!$B$3:$T$21,MATCH(C59,Data!$A$3:$A$21,0),MATCH(D59,Data!$B$2:$T$2,0))</f>
        <v>8788</v>
      </c>
      <c r="R59" s="3" t="n">
        <f aca="false">IF(J59&gt;0,P59/J59,"")</f>
        <v>1</v>
      </c>
      <c r="S59" s="3" t="n">
        <f aca="false">IF(J59&gt;0,Q59/J59,"")</f>
        <v>1</v>
      </c>
      <c r="T59" s="6" t="n">
        <f aca="false">IF(J59&gt;0,R59-S59,"")</f>
        <v>0</v>
      </c>
      <c r="U59" s="1" t="s">
        <v>20</v>
      </c>
      <c r="V59" s="8" t="n">
        <f aca="false">ABS(O59)</f>
        <v>0</v>
      </c>
      <c r="W59" s="8" t="n">
        <f aca="false">O59^2</f>
        <v>0</v>
      </c>
      <c r="X59" s="12" t="n">
        <f aca="false">IF(M59&gt;0,O59^2/M59,0)</f>
        <v>0</v>
      </c>
      <c r="Y59" s="8" t="n">
        <f aca="false">IF(V59&lt;=Metrics!$C$3,0.5*O59^2,Metrics!$C$3*(V59-0.5*Metrics!$C$3))</f>
        <v>0</v>
      </c>
      <c r="Z59" s="8" t="n">
        <f aca="false">ABS(P59-Q59)</f>
        <v>0</v>
      </c>
      <c r="AA59" s="13" t="n">
        <f aca="false">IF(J59&gt;0,T59^2,0)</f>
        <v>0</v>
      </c>
    </row>
    <row r="60" customFormat="false" ht="15" hidden="false" customHeight="false" outlineLevel="0" collapsed="false">
      <c r="A60" s="11" t="s">
        <v>63</v>
      </c>
      <c r="B60" s="11" t="n">
        <v>2023</v>
      </c>
      <c r="C60" s="11" t="n">
        <v>2010</v>
      </c>
      <c r="D60" s="11" t="n">
        <v>2024</v>
      </c>
      <c r="E60" s="1" t="n">
        <f aca="false">D60-B60</f>
        <v>1</v>
      </c>
      <c r="F60" s="1" t="n">
        <f aca="false">B60-C60+1</f>
        <v>14</v>
      </c>
      <c r="G60" s="1" t="n">
        <f aca="false">D60-C60+1</f>
        <v>15</v>
      </c>
      <c r="H60" s="8" t="n">
        <f aca="false">INDEX(Data!$B$3:$T$21,MATCH(C60,Data!$A$3:$A$21,0),MATCH(B60,Data!$B$2:$T$2,0))</f>
        <v>8854</v>
      </c>
      <c r="I60" s="8" t="n">
        <f aca="false">INDEX(Data!$B$25:$T$43,MATCH(C60,Data!$A$3:$A$21,0),MATCH(B60,Data!$B$2:$T$2,0))</f>
        <v>0</v>
      </c>
      <c r="J60" s="8" t="n">
        <f aca="false">H60+I60</f>
        <v>8854</v>
      </c>
      <c r="K60" s="3" t="n">
        <f aca="false">INDEX('pattern input'!$B$2:$AO$5,MATCH(A60&amp;"_"&amp;B60,'pattern input'!$A$2:$A$5,0),F60)</f>
        <v>0.948546106037642</v>
      </c>
      <c r="L60" s="3" t="n">
        <f aca="false">INDEX('pattern input'!$B$2:$AO$5,MATCH(A60&amp;"_"&amp;B60,'pattern input'!$A$2:$A$5,0),G60)</f>
        <v>0.962671645577617</v>
      </c>
      <c r="M60" s="8" t="n">
        <f aca="false">IF(K60&gt;=1,0,I60*(L60-INDEX('pattern input'!$B$2:$AO$5,MATCH(A60&amp;"_"&amp;B60,'pattern input'!$A$2:$A$5,0),G60-1))/(1-K60))</f>
        <v>0</v>
      </c>
      <c r="N60" s="8" t="n">
        <f aca="false">INDEX(Data!$B$3:$T$21,MATCH(C60,Data!$A$3:$A$21,0),MATCH(D60,Data!$B$2:$T$2,0))-INDEX(Data!$B$3:$T$21,MATCH(C60,Data!$A$3:$A$21,0),MATCH(D60-1,Data!$B$2:$T$2,0))</f>
        <v>0</v>
      </c>
      <c r="O60" s="9" t="n">
        <f aca="false">M60-N60</f>
        <v>0</v>
      </c>
      <c r="P60" s="8" t="n">
        <f aca="false">IF(K60&gt;=1,H60+I60,H60+I60*(L60-K60)/(1-K60))</f>
        <v>8854</v>
      </c>
      <c r="Q60" s="8" t="n">
        <f aca="false">INDEX(Data!$B$3:$T$21,MATCH(C60,Data!$A$3:$A$21,0),MATCH(D60,Data!$B$2:$T$2,0))</f>
        <v>8854</v>
      </c>
      <c r="R60" s="3" t="n">
        <f aca="false">IF(J60&gt;0,P60/J60,"")</f>
        <v>1</v>
      </c>
      <c r="S60" s="3" t="n">
        <f aca="false">IF(J60&gt;0,Q60/J60,"")</f>
        <v>1</v>
      </c>
      <c r="T60" s="6" t="n">
        <f aca="false">IF(J60&gt;0,R60-S60,"")</f>
        <v>0</v>
      </c>
      <c r="U60" s="1" t="s">
        <v>20</v>
      </c>
      <c r="V60" s="8" t="n">
        <f aca="false">ABS(O60)</f>
        <v>0</v>
      </c>
      <c r="W60" s="8" t="n">
        <f aca="false">O60^2</f>
        <v>0</v>
      </c>
      <c r="X60" s="12" t="n">
        <f aca="false">IF(M60&gt;0,O60^2/M60,0)</f>
        <v>0</v>
      </c>
      <c r="Y60" s="8" t="n">
        <f aca="false">IF(V60&lt;=Metrics!$C$3,0.5*O60^2,Metrics!$C$3*(V60-0.5*Metrics!$C$3))</f>
        <v>0</v>
      </c>
      <c r="Z60" s="8" t="n">
        <f aca="false">ABS(P60-Q60)</f>
        <v>0</v>
      </c>
      <c r="AA60" s="13" t="n">
        <f aca="false">IF(J60&gt;0,T60^2,0)</f>
        <v>0</v>
      </c>
    </row>
    <row r="61" customFormat="false" ht="15" hidden="false" customHeight="false" outlineLevel="0" collapsed="false">
      <c r="A61" s="11" t="s">
        <v>63</v>
      </c>
      <c r="B61" s="11" t="n">
        <v>2023</v>
      </c>
      <c r="C61" s="11" t="n">
        <v>2010</v>
      </c>
      <c r="D61" s="11" t="n">
        <v>2025</v>
      </c>
      <c r="E61" s="1" t="n">
        <f aca="false">D61-B61</f>
        <v>2</v>
      </c>
      <c r="F61" s="1" t="n">
        <f aca="false">B61-C61+1</f>
        <v>14</v>
      </c>
      <c r="G61" s="1" t="n">
        <f aca="false">D61-C61+1</f>
        <v>16</v>
      </c>
      <c r="H61" s="8" t="n">
        <f aca="false">INDEX(Data!$B$3:$T$21,MATCH(C61,Data!$A$3:$A$21,0),MATCH(B61,Data!$B$2:$T$2,0))</f>
        <v>8854</v>
      </c>
      <c r="I61" s="8" t="n">
        <f aca="false">INDEX(Data!$B$25:$T$43,MATCH(C61,Data!$A$3:$A$21,0),MATCH(B61,Data!$B$2:$T$2,0))</f>
        <v>0</v>
      </c>
      <c r="J61" s="8" t="n">
        <f aca="false">H61+I61</f>
        <v>8854</v>
      </c>
      <c r="K61" s="3" t="n">
        <f aca="false">INDEX('pattern input'!$B$2:$AO$5,MATCH(A61&amp;"_"&amp;B61,'pattern input'!$A$2:$A$5,0),F61)</f>
        <v>0.948546106037642</v>
      </c>
      <c r="L61" s="3" t="n">
        <f aca="false">INDEX('pattern input'!$B$2:$AO$5,MATCH(A61&amp;"_"&amp;B61,'pattern input'!$A$2:$A$5,0),G61)</f>
        <v>0.975885205363322</v>
      </c>
      <c r="M61" s="8" t="n">
        <f aca="false">IF(K61&gt;=1,0,I61*(L61-INDEX('pattern input'!$B$2:$AO$5,MATCH(A61&amp;"_"&amp;B61,'pattern input'!$A$2:$A$5,0),G61-1))/(1-K61))</f>
        <v>0</v>
      </c>
      <c r="N61" s="8" t="n">
        <f aca="false">INDEX(Data!$B$3:$T$21,MATCH(C61,Data!$A$3:$A$21,0),MATCH(D61,Data!$B$2:$T$2,0))-INDEX(Data!$B$3:$T$21,MATCH(C61,Data!$A$3:$A$21,0),MATCH(D61-1,Data!$B$2:$T$2,0))</f>
        <v>0</v>
      </c>
      <c r="O61" s="9" t="n">
        <f aca="false">M61-N61</f>
        <v>0</v>
      </c>
      <c r="P61" s="8" t="n">
        <f aca="false">IF(K61&gt;=1,H61+I61,H61+I61*(L61-K61)/(1-K61))</f>
        <v>8854</v>
      </c>
      <c r="Q61" s="8" t="n">
        <f aca="false">INDEX(Data!$B$3:$T$21,MATCH(C61,Data!$A$3:$A$21,0),MATCH(D61,Data!$B$2:$T$2,0))</f>
        <v>8854</v>
      </c>
      <c r="R61" s="3" t="n">
        <f aca="false">IF(J61&gt;0,P61/J61,"")</f>
        <v>1</v>
      </c>
      <c r="S61" s="3" t="n">
        <f aca="false">IF(J61&gt;0,Q61/J61,"")</f>
        <v>1</v>
      </c>
      <c r="T61" s="6" t="n">
        <f aca="false">IF(J61&gt;0,R61-S61,"")</f>
        <v>0</v>
      </c>
      <c r="U61" s="1" t="s">
        <v>20</v>
      </c>
      <c r="V61" s="8" t="n">
        <f aca="false">ABS(O61)</f>
        <v>0</v>
      </c>
      <c r="W61" s="8" t="n">
        <f aca="false">O61^2</f>
        <v>0</v>
      </c>
      <c r="X61" s="12" t="n">
        <f aca="false">IF(M61&gt;0,O61^2/M61,0)</f>
        <v>0</v>
      </c>
      <c r="Y61" s="8" t="n">
        <f aca="false">IF(V61&lt;=Metrics!$C$3,0.5*O61^2,Metrics!$C$3*(V61-0.5*Metrics!$C$3))</f>
        <v>0</v>
      </c>
      <c r="Z61" s="8" t="n">
        <f aca="false">ABS(P61-Q61)</f>
        <v>0</v>
      </c>
      <c r="AA61" s="13" t="n">
        <f aca="false">IF(J61&gt;0,T61^2,0)</f>
        <v>0</v>
      </c>
    </row>
    <row r="62" customFormat="false" ht="15" hidden="false" customHeight="false" outlineLevel="0" collapsed="false">
      <c r="A62" s="11" t="s">
        <v>63</v>
      </c>
      <c r="B62" s="11" t="n">
        <v>2023</v>
      </c>
      <c r="C62" s="11" t="n">
        <v>2011</v>
      </c>
      <c r="D62" s="11" t="n">
        <v>2024</v>
      </c>
      <c r="E62" s="1" t="n">
        <f aca="false">D62-B62</f>
        <v>1</v>
      </c>
      <c r="F62" s="1" t="n">
        <f aca="false">B62-C62+1</f>
        <v>13</v>
      </c>
      <c r="G62" s="1" t="n">
        <f aca="false">D62-C62+1</f>
        <v>14</v>
      </c>
      <c r="H62" s="8" t="n">
        <f aca="false">INDEX(Data!$B$3:$T$21,MATCH(C62,Data!$A$3:$A$21,0),MATCH(B62,Data!$B$2:$T$2,0))</f>
        <v>26889</v>
      </c>
      <c r="I62" s="8" t="n">
        <f aca="false">INDEX(Data!$B$25:$T$43,MATCH(C62,Data!$A$3:$A$21,0),MATCH(B62,Data!$B$2:$T$2,0))</f>
        <v>0</v>
      </c>
      <c r="J62" s="8" t="n">
        <f aca="false">H62+I62</f>
        <v>26889</v>
      </c>
      <c r="K62" s="3" t="n">
        <f aca="false">INDEX('pattern input'!$B$2:$AO$5,MATCH(A62&amp;"_"&amp;B62,'pattern input'!$A$2:$A$5,0),F62)</f>
        <v>0.933373305307312</v>
      </c>
      <c r="L62" s="3" t="n">
        <f aca="false">INDEX('pattern input'!$B$2:$AO$5,MATCH(A62&amp;"_"&amp;B62,'pattern input'!$A$2:$A$5,0),G62)</f>
        <v>0.948546106037642</v>
      </c>
      <c r="M62" s="8" t="n">
        <f aca="false">IF(K62&gt;=1,0,I62*(L62-INDEX('pattern input'!$B$2:$AO$5,MATCH(A62&amp;"_"&amp;B62,'pattern input'!$A$2:$A$5,0),G62-1))/(1-K62))</f>
        <v>0</v>
      </c>
      <c r="N62" s="8" t="n">
        <f aca="false">INDEX(Data!$B$3:$T$21,MATCH(C62,Data!$A$3:$A$21,0),MATCH(D62,Data!$B$2:$T$2,0))-INDEX(Data!$B$3:$T$21,MATCH(C62,Data!$A$3:$A$21,0),MATCH(D62-1,Data!$B$2:$T$2,0))</f>
        <v>0</v>
      </c>
      <c r="O62" s="9" t="n">
        <f aca="false">M62-N62</f>
        <v>0</v>
      </c>
      <c r="P62" s="8" t="n">
        <f aca="false">IF(K62&gt;=1,H62+I62,H62+I62*(L62-K62)/(1-K62))</f>
        <v>26889</v>
      </c>
      <c r="Q62" s="8" t="n">
        <f aca="false">INDEX(Data!$B$3:$T$21,MATCH(C62,Data!$A$3:$A$21,0),MATCH(D62,Data!$B$2:$T$2,0))</f>
        <v>26889</v>
      </c>
      <c r="R62" s="3" t="n">
        <f aca="false">IF(J62&gt;0,P62/J62,"")</f>
        <v>1</v>
      </c>
      <c r="S62" s="3" t="n">
        <f aca="false">IF(J62&gt;0,Q62/J62,"")</f>
        <v>1</v>
      </c>
      <c r="T62" s="6" t="n">
        <f aca="false">IF(J62&gt;0,R62-S62,"")</f>
        <v>0</v>
      </c>
      <c r="U62" s="1" t="s">
        <v>20</v>
      </c>
      <c r="V62" s="8" t="n">
        <f aca="false">ABS(O62)</f>
        <v>0</v>
      </c>
      <c r="W62" s="8" t="n">
        <f aca="false">O62^2</f>
        <v>0</v>
      </c>
      <c r="X62" s="12" t="n">
        <f aca="false">IF(M62&gt;0,O62^2/M62,0)</f>
        <v>0</v>
      </c>
      <c r="Y62" s="8" t="n">
        <f aca="false">IF(V62&lt;=Metrics!$C$3,0.5*O62^2,Metrics!$C$3*(V62-0.5*Metrics!$C$3))</f>
        <v>0</v>
      </c>
      <c r="Z62" s="8" t="n">
        <f aca="false">ABS(P62-Q62)</f>
        <v>0</v>
      </c>
      <c r="AA62" s="13" t="n">
        <f aca="false">IF(J62&gt;0,T62^2,0)</f>
        <v>0</v>
      </c>
    </row>
    <row r="63" customFormat="false" ht="15" hidden="false" customHeight="false" outlineLevel="0" collapsed="false">
      <c r="A63" s="11" t="s">
        <v>63</v>
      </c>
      <c r="B63" s="11" t="n">
        <v>2023</v>
      </c>
      <c r="C63" s="11" t="n">
        <v>2011</v>
      </c>
      <c r="D63" s="11" t="n">
        <v>2025</v>
      </c>
      <c r="E63" s="1" t="n">
        <f aca="false">D63-B63</f>
        <v>2</v>
      </c>
      <c r="F63" s="1" t="n">
        <f aca="false">B63-C63+1</f>
        <v>13</v>
      </c>
      <c r="G63" s="1" t="n">
        <f aca="false">D63-C63+1</f>
        <v>15</v>
      </c>
      <c r="H63" s="8" t="n">
        <f aca="false">INDEX(Data!$B$3:$T$21,MATCH(C63,Data!$A$3:$A$21,0),MATCH(B63,Data!$B$2:$T$2,0))</f>
        <v>26889</v>
      </c>
      <c r="I63" s="8" t="n">
        <f aca="false">INDEX(Data!$B$25:$T$43,MATCH(C63,Data!$A$3:$A$21,0),MATCH(B63,Data!$B$2:$T$2,0))</f>
        <v>0</v>
      </c>
      <c r="J63" s="8" t="n">
        <f aca="false">H63+I63</f>
        <v>26889</v>
      </c>
      <c r="K63" s="3" t="n">
        <f aca="false">INDEX('pattern input'!$B$2:$AO$5,MATCH(A63&amp;"_"&amp;B63,'pattern input'!$A$2:$A$5,0),F63)</f>
        <v>0.933373305307312</v>
      </c>
      <c r="L63" s="3" t="n">
        <f aca="false">INDEX('pattern input'!$B$2:$AO$5,MATCH(A63&amp;"_"&amp;B63,'pattern input'!$A$2:$A$5,0),G63)</f>
        <v>0.962671645577617</v>
      </c>
      <c r="M63" s="8" t="n">
        <f aca="false">IF(K63&gt;=1,0,I63*(L63-INDEX('pattern input'!$B$2:$AO$5,MATCH(A63&amp;"_"&amp;B63,'pattern input'!$A$2:$A$5,0),G63-1))/(1-K63))</f>
        <v>0</v>
      </c>
      <c r="N63" s="8" t="n">
        <f aca="false">INDEX(Data!$B$3:$T$21,MATCH(C63,Data!$A$3:$A$21,0),MATCH(D63,Data!$B$2:$T$2,0))-INDEX(Data!$B$3:$T$21,MATCH(C63,Data!$A$3:$A$21,0),MATCH(D63-1,Data!$B$2:$T$2,0))</f>
        <v>0</v>
      </c>
      <c r="O63" s="9" t="n">
        <f aca="false">M63-N63</f>
        <v>0</v>
      </c>
      <c r="P63" s="8" t="n">
        <f aca="false">IF(K63&gt;=1,H63+I63,H63+I63*(L63-K63)/(1-K63))</f>
        <v>26889</v>
      </c>
      <c r="Q63" s="8" t="n">
        <f aca="false">INDEX(Data!$B$3:$T$21,MATCH(C63,Data!$A$3:$A$21,0),MATCH(D63,Data!$B$2:$T$2,0))</f>
        <v>26889</v>
      </c>
      <c r="R63" s="3" t="n">
        <f aca="false">IF(J63&gt;0,P63/J63,"")</f>
        <v>1</v>
      </c>
      <c r="S63" s="3" t="n">
        <f aca="false">IF(J63&gt;0,Q63/J63,"")</f>
        <v>1</v>
      </c>
      <c r="T63" s="6" t="n">
        <f aca="false">IF(J63&gt;0,R63-S63,"")</f>
        <v>0</v>
      </c>
      <c r="U63" s="1" t="s">
        <v>20</v>
      </c>
      <c r="V63" s="8" t="n">
        <f aca="false">ABS(O63)</f>
        <v>0</v>
      </c>
      <c r="W63" s="8" t="n">
        <f aca="false">O63^2</f>
        <v>0</v>
      </c>
      <c r="X63" s="12" t="n">
        <f aca="false">IF(M63&gt;0,O63^2/M63,0)</f>
        <v>0</v>
      </c>
      <c r="Y63" s="8" t="n">
        <f aca="false">IF(V63&lt;=Metrics!$C$3,0.5*O63^2,Metrics!$C$3*(V63-0.5*Metrics!$C$3))</f>
        <v>0</v>
      </c>
      <c r="Z63" s="8" t="n">
        <f aca="false">ABS(P63-Q63)</f>
        <v>0</v>
      </c>
      <c r="AA63" s="13" t="n">
        <f aca="false">IF(J63&gt;0,T63^2,0)</f>
        <v>0</v>
      </c>
    </row>
    <row r="64" customFormat="false" ht="15" hidden="false" customHeight="false" outlineLevel="0" collapsed="false">
      <c r="A64" s="11" t="s">
        <v>63</v>
      </c>
      <c r="B64" s="11" t="n">
        <v>2023</v>
      </c>
      <c r="C64" s="11" t="n">
        <v>2012</v>
      </c>
      <c r="D64" s="11" t="n">
        <v>2024</v>
      </c>
      <c r="E64" s="1" t="n">
        <f aca="false">D64-B64</f>
        <v>1</v>
      </c>
      <c r="F64" s="1" t="n">
        <f aca="false">B64-C64+1</f>
        <v>12</v>
      </c>
      <c r="G64" s="1" t="n">
        <f aca="false">D64-C64+1</f>
        <v>13</v>
      </c>
      <c r="H64" s="8" t="n">
        <f aca="false">INDEX(Data!$B$3:$T$21,MATCH(C64,Data!$A$3:$A$21,0),MATCH(B64,Data!$B$2:$T$2,0))</f>
        <v>36764</v>
      </c>
      <c r="I64" s="8" t="n">
        <f aca="false">INDEX(Data!$B$25:$T$43,MATCH(C64,Data!$A$3:$A$21,0),MATCH(B64,Data!$B$2:$T$2,0))</f>
        <v>0</v>
      </c>
      <c r="J64" s="8" t="n">
        <f aca="false">H64+I64</f>
        <v>36764</v>
      </c>
      <c r="K64" s="3" t="n">
        <f aca="false">INDEX('pattern input'!$B$2:$AO$5,MATCH(A64&amp;"_"&amp;B64,'pattern input'!$A$2:$A$5,0),F64)</f>
        <v>0.916985432071117</v>
      </c>
      <c r="L64" s="3" t="n">
        <f aca="false">INDEX('pattern input'!$B$2:$AO$5,MATCH(A64&amp;"_"&amp;B64,'pattern input'!$A$2:$A$5,0),G64)</f>
        <v>0.933373305307312</v>
      </c>
      <c r="M64" s="8" t="n">
        <f aca="false">IF(K64&gt;=1,0,I64*(L64-INDEX('pattern input'!$B$2:$AO$5,MATCH(A64&amp;"_"&amp;B64,'pattern input'!$A$2:$A$5,0),G64-1))/(1-K64))</f>
        <v>0</v>
      </c>
      <c r="N64" s="8" t="n">
        <f aca="false">INDEX(Data!$B$3:$T$21,MATCH(C64,Data!$A$3:$A$21,0),MATCH(D64,Data!$B$2:$T$2,0))-INDEX(Data!$B$3:$T$21,MATCH(C64,Data!$A$3:$A$21,0),MATCH(D64-1,Data!$B$2:$T$2,0))</f>
        <v>0</v>
      </c>
      <c r="O64" s="9" t="n">
        <f aca="false">M64-N64</f>
        <v>0</v>
      </c>
      <c r="P64" s="8" t="n">
        <f aca="false">IF(K64&gt;=1,H64+I64,H64+I64*(L64-K64)/(1-K64))</f>
        <v>36764</v>
      </c>
      <c r="Q64" s="8" t="n">
        <f aca="false">INDEX(Data!$B$3:$T$21,MATCH(C64,Data!$A$3:$A$21,0),MATCH(D64,Data!$B$2:$T$2,0))</f>
        <v>36764</v>
      </c>
      <c r="R64" s="3" t="n">
        <f aca="false">IF(J64&gt;0,P64/J64,"")</f>
        <v>1</v>
      </c>
      <c r="S64" s="3" t="n">
        <f aca="false">IF(J64&gt;0,Q64/J64,"")</f>
        <v>1</v>
      </c>
      <c r="T64" s="6" t="n">
        <f aca="false">IF(J64&gt;0,R64-S64,"")</f>
        <v>0</v>
      </c>
      <c r="U64" s="1" t="s">
        <v>20</v>
      </c>
      <c r="V64" s="8" t="n">
        <f aca="false">ABS(O64)</f>
        <v>0</v>
      </c>
      <c r="W64" s="8" t="n">
        <f aca="false">O64^2</f>
        <v>0</v>
      </c>
      <c r="X64" s="12" t="n">
        <f aca="false">IF(M64&gt;0,O64^2/M64,0)</f>
        <v>0</v>
      </c>
      <c r="Y64" s="8" t="n">
        <f aca="false">IF(V64&lt;=Metrics!$C$3,0.5*O64^2,Metrics!$C$3*(V64-0.5*Metrics!$C$3))</f>
        <v>0</v>
      </c>
      <c r="Z64" s="8" t="n">
        <f aca="false">ABS(P64-Q64)</f>
        <v>0</v>
      </c>
      <c r="AA64" s="13" t="n">
        <f aca="false">IF(J64&gt;0,T64^2,0)</f>
        <v>0</v>
      </c>
    </row>
    <row r="65" customFormat="false" ht="15" hidden="false" customHeight="false" outlineLevel="0" collapsed="false">
      <c r="A65" s="11" t="s">
        <v>63</v>
      </c>
      <c r="B65" s="11" t="n">
        <v>2023</v>
      </c>
      <c r="C65" s="11" t="n">
        <v>2012</v>
      </c>
      <c r="D65" s="11" t="n">
        <v>2025</v>
      </c>
      <c r="E65" s="1" t="n">
        <f aca="false">D65-B65</f>
        <v>2</v>
      </c>
      <c r="F65" s="1" t="n">
        <f aca="false">B65-C65+1</f>
        <v>12</v>
      </c>
      <c r="G65" s="1" t="n">
        <f aca="false">D65-C65+1</f>
        <v>14</v>
      </c>
      <c r="H65" s="8" t="n">
        <f aca="false">INDEX(Data!$B$3:$T$21,MATCH(C65,Data!$A$3:$A$21,0),MATCH(B65,Data!$B$2:$T$2,0))</f>
        <v>36764</v>
      </c>
      <c r="I65" s="8" t="n">
        <f aca="false">INDEX(Data!$B$25:$T$43,MATCH(C65,Data!$A$3:$A$21,0),MATCH(B65,Data!$B$2:$T$2,0))</f>
        <v>0</v>
      </c>
      <c r="J65" s="8" t="n">
        <f aca="false">H65+I65</f>
        <v>36764</v>
      </c>
      <c r="K65" s="3" t="n">
        <f aca="false">INDEX('pattern input'!$B$2:$AO$5,MATCH(A65&amp;"_"&amp;B65,'pattern input'!$A$2:$A$5,0),F65)</f>
        <v>0.916985432071117</v>
      </c>
      <c r="L65" s="3" t="n">
        <f aca="false">INDEX('pattern input'!$B$2:$AO$5,MATCH(A65&amp;"_"&amp;B65,'pattern input'!$A$2:$A$5,0),G65)</f>
        <v>0.948546106037642</v>
      </c>
      <c r="M65" s="8" t="n">
        <f aca="false">IF(K65&gt;=1,0,I65*(L65-INDEX('pattern input'!$B$2:$AO$5,MATCH(A65&amp;"_"&amp;B65,'pattern input'!$A$2:$A$5,0),G65-1))/(1-K65))</f>
        <v>0</v>
      </c>
      <c r="N65" s="8" t="n">
        <f aca="false">INDEX(Data!$B$3:$T$21,MATCH(C65,Data!$A$3:$A$21,0),MATCH(D65,Data!$B$2:$T$2,0))-INDEX(Data!$B$3:$T$21,MATCH(C65,Data!$A$3:$A$21,0),MATCH(D65-1,Data!$B$2:$T$2,0))</f>
        <v>0</v>
      </c>
      <c r="O65" s="9" t="n">
        <f aca="false">M65-N65</f>
        <v>0</v>
      </c>
      <c r="P65" s="8" t="n">
        <f aca="false">IF(K65&gt;=1,H65+I65,H65+I65*(L65-K65)/(1-K65))</f>
        <v>36764</v>
      </c>
      <c r="Q65" s="8" t="n">
        <f aca="false">INDEX(Data!$B$3:$T$21,MATCH(C65,Data!$A$3:$A$21,0),MATCH(D65,Data!$B$2:$T$2,0))</f>
        <v>36764</v>
      </c>
      <c r="R65" s="3" t="n">
        <f aca="false">IF(J65&gt;0,P65/J65,"")</f>
        <v>1</v>
      </c>
      <c r="S65" s="3" t="n">
        <f aca="false">IF(J65&gt;0,Q65/J65,"")</f>
        <v>1</v>
      </c>
      <c r="T65" s="6" t="n">
        <f aca="false">IF(J65&gt;0,R65-S65,"")</f>
        <v>0</v>
      </c>
      <c r="U65" s="1" t="s">
        <v>20</v>
      </c>
      <c r="V65" s="8" t="n">
        <f aca="false">ABS(O65)</f>
        <v>0</v>
      </c>
      <c r="W65" s="8" t="n">
        <f aca="false">O65^2</f>
        <v>0</v>
      </c>
      <c r="X65" s="12" t="n">
        <f aca="false">IF(M65&gt;0,O65^2/M65,0)</f>
        <v>0</v>
      </c>
      <c r="Y65" s="8" t="n">
        <f aca="false">IF(V65&lt;=Metrics!$C$3,0.5*O65^2,Metrics!$C$3*(V65-0.5*Metrics!$C$3))</f>
        <v>0</v>
      </c>
      <c r="Z65" s="8" t="n">
        <f aca="false">ABS(P65-Q65)</f>
        <v>0</v>
      </c>
      <c r="AA65" s="13" t="n">
        <f aca="false">IF(J65&gt;0,T65^2,0)</f>
        <v>0</v>
      </c>
    </row>
    <row r="66" customFormat="false" ht="15" hidden="false" customHeight="false" outlineLevel="0" collapsed="false">
      <c r="A66" s="11" t="s">
        <v>63</v>
      </c>
      <c r="B66" s="11" t="n">
        <v>2023</v>
      </c>
      <c r="C66" s="11" t="n">
        <v>2013</v>
      </c>
      <c r="D66" s="11" t="n">
        <v>2024</v>
      </c>
      <c r="E66" s="1" t="n">
        <f aca="false">D66-B66</f>
        <v>1</v>
      </c>
      <c r="F66" s="1" t="n">
        <f aca="false">B66-C66+1</f>
        <v>11</v>
      </c>
      <c r="G66" s="1" t="n">
        <f aca="false">D66-C66+1</f>
        <v>12</v>
      </c>
      <c r="H66" s="8" t="n">
        <f aca="false">INDEX(Data!$B$3:$T$21,MATCH(C66,Data!$A$3:$A$21,0),MATCH(B66,Data!$B$2:$T$2,0))</f>
        <v>7000</v>
      </c>
      <c r="I66" s="8" t="n">
        <f aca="false">INDEX(Data!$B$25:$T$43,MATCH(C66,Data!$A$3:$A$21,0),MATCH(B66,Data!$B$2:$T$2,0))</f>
        <v>0</v>
      </c>
      <c r="J66" s="8" t="n">
        <f aca="false">H66+I66</f>
        <v>7000</v>
      </c>
      <c r="K66" s="3" t="n">
        <f aca="false">INDEX('pattern input'!$B$2:$AO$5,MATCH(A66&amp;"_"&amp;B66,'pattern input'!$A$2:$A$5,0),F66)</f>
        <v>0.899170799637284</v>
      </c>
      <c r="L66" s="3" t="n">
        <f aca="false">INDEX('pattern input'!$B$2:$AO$5,MATCH(A66&amp;"_"&amp;B66,'pattern input'!$A$2:$A$5,0),G66)</f>
        <v>0.916985432071117</v>
      </c>
      <c r="M66" s="8" t="n">
        <f aca="false">IF(K66&gt;=1,0,I66*(L66-INDEX('pattern input'!$B$2:$AO$5,MATCH(A66&amp;"_"&amp;B66,'pattern input'!$A$2:$A$5,0),G66-1))/(1-K66))</f>
        <v>0</v>
      </c>
      <c r="N66" s="8" t="n">
        <f aca="false">INDEX(Data!$B$3:$T$21,MATCH(C66,Data!$A$3:$A$21,0),MATCH(D66,Data!$B$2:$T$2,0))-INDEX(Data!$B$3:$T$21,MATCH(C66,Data!$A$3:$A$21,0),MATCH(D66-1,Data!$B$2:$T$2,0))</f>
        <v>0</v>
      </c>
      <c r="O66" s="9" t="n">
        <f aca="false">M66-N66</f>
        <v>0</v>
      </c>
      <c r="P66" s="8" t="n">
        <f aca="false">IF(K66&gt;=1,H66+I66,H66+I66*(L66-K66)/(1-K66))</f>
        <v>7000</v>
      </c>
      <c r="Q66" s="8" t="n">
        <f aca="false">INDEX(Data!$B$3:$T$21,MATCH(C66,Data!$A$3:$A$21,0),MATCH(D66,Data!$B$2:$T$2,0))</f>
        <v>7000</v>
      </c>
      <c r="R66" s="3" t="n">
        <f aca="false">IF(J66&gt;0,P66/J66,"")</f>
        <v>1</v>
      </c>
      <c r="S66" s="3" t="n">
        <f aca="false">IF(J66&gt;0,Q66/J66,"")</f>
        <v>1</v>
      </c>
      <c r="T66" s="6" t="n">
        <f aca="false">IF(J66&gt;0,R66-S66,"")</f>
        <v>0</v>
      </c>
      <c r="U66" s="1" t="s">
        <v>20</v>
      </c>
      <c r="V66" s="8" t="n">
        <f aca="false">ABS(O66)</f>
        <v>0</v>
      </c>
      <c r="W66" s="8" t="n">
        <f aca="false">O66^2</f>
        <v>0</v>
      </c>
      <c r="X66" s="12" t="n">
        <f aca="false">IF(M66&gt;0,O66^2/M66,0)</f>
        <v>0</v>
      </c>
      <c r="Y66" s="8" t="n">
        <f aca="false">IF(V66&lt;=Metrics!$C$3,0.5*O66^2,Metrics!$C$3*(V66-0.5*Metrics!$C$3))</f>
        <v>0</v>
      </c>
      <c r="Z66" s="8" t="n">
        <f aca="false">ABS(P66-Q66)</f>
        <v>0</v>
      </c>
      <c r="AA66" s="13" t="n">
        <f aca="false">IF(J66&gt;0,T66^2,0)</f>
        <v>0</v>
      </c>
    </row>
    <row r="67" customFormat="false" ht="15" hidden="false" customHeight="false" outlineLevel="0" collapsed="false">
      <c r="A67" s="11" t="s">
        <v>63</v>
      </c>
      <c r="B67" s="11" t="n">
        <v>2023</v>
      </c>
      <c r="C67" s="11" t="n">
        <v>2013</v>
      </c>
      <c r="D67" s="11" t="n">
        <v>2025</v>
      </c>
      <c r="E67" s="1" t="n">
        <f aca="false">D67-B67</f>
        <v>2</v>
      </c>
      <c r="F67" s="1" t="n">
        <f aca="false">B67-C67+1</f>
        <v>11</v>
      </c>
      <c r="G67" s="1" t="n">
        <f aca="false">D67-C67+1</f>
        <v>13</v>
      </c>
      <c r="H67" s="8" t="n">
        <f aca="false">INDEX(Data!$B$3:$T$21,MATCH(C67,Data!$A$3:$A$21,0),MATCH(B67,Data!$B$2:$T$2,0))</f>
        <v>7000</v>
      </c>
      <c r="I67" s="8" t="n">
        <f aca="false">INDEX(Data!$B$25:$T$43,MATCH(C67,Data!$A$3:$A$21,0),MATCH(B67,Data!$B$2:$T$2,0))</f>
        <v>0</v>
      </c>
      <c r="J67" s="8" t="n">
        <f aca="false">H67+I67</f>
        <v>7000</v>
      </c>
      <c r="K67" s="3" t="n">
        <f aca="false">INDEX('pattern input'!$B$2:$AO$5,MATCH(A67&amp;"_"&amp;B67,'pattern input'!$A$2:$A$5,0),F67)</f>
        <v>0.899170799637284</v>
      </c>
      <c r="L67" s="3" t="n">
        <f aca="false">INDEX('pattern input'!$B$2:$AO$5,MATCH(A67&amp;"_"&amp;B67,'pattern input'!$A$2:$A$5,0),G67)</f>
        <v>0.933373305307312</v>
      </c>
      <c r="M67" s="8" t="n">
        <f aca="false">IF(K67&gt;=1,0,I67*(L67-INDEX('pattern input'!$B$2:$AO$5,MATCH(A67&amp;"_"&amp;B67,'pattern input'!$A$2:$A$5,0),G67-1))/(1-K67))</f>
        <v>0</v>
      </c>
      <c r="N67" s="8" t="n">
        <f aca="false">INDEX(Data!$B$3:$T$21,MATCH(C67,Data!$A$3:$A$21,0),MATCH(D67,Data!$B$2:$T$2,0))-INDEX(Data!$B$3:$T$21,MATCH(C67,Data!$A$3:$A$21,0),MATCH(D67-1,Data!$B$2:$T$2,0))</f>
        <v>0</v>
      </c>
      <c r="O67" s="9" t="n">
        <f aca="false">M67-N67</f>
        <v>0</v>
      </c>
      <c r="P67" s="8" t="n">
        <f aca="false">IF(K67&gt;=1,H67+I67,H67+I67*(L67-K67)/(1-K67))</f>
        <v>7000</v>
      </c>
      <c r="Q67" s="8" t="n">
        <f aca="false">INDEX(Data!$B$3:$T$21,MATCH(C67,Data!$A$3:$A$21,0),MATCH(D67,Data!$B$2:$T$2,0))</f>
        <v>7000</v>
      </c>
      <c r="R67" s="3" t="n">
        <f aca="false">IF(J67&gt;0,P67/J67,"")</f>
        <v>1</v>
      </c>
      <c r="S67" s="3" t="n">
        <f aca="false">IF(J67&gt;0,Q67/J67,"")</f>
        <v>1</v>
      </c>
      <c r="T67" s="6" t="n">
        <f aca="false">IF(J67&gt;0,R67-S67,"")</f>
        <v>0</v>
      </c>
      <c r="U67" s="1" t="s">
        <v>20</v>
      </c>
      <c r="V67" s="8" t="n">
        <f aca="false">ABS(O67)</f>
        <v>0</v>
      </c>
      <c r="W67" s="8" t="n">
        <f aca="false">O67^2</f>
        <v>0</v>
      </c>
      <c r="X67" s="12" t="n">
        <f aca="false">IF(M67&gt;0,O67^2/M67,0)</f>
        <v>0</v>
      </c>
      <c r="Y67" s="8" t="n">
        <f aca="false">IF(V67&lt;=Metrics!$C$3,0.5*O67^2,Metrics!$C$3*(V67-0.5*Metrics!$C$3))</f>
        <v>0</v>
      </c>
      <c r="Z67" s="8" t="n">
        <f aca="false">ABS(P67-Q67)</f>
        <v>0</v>
      </c>
      <c r="AA67" s="13" t="n">
        <f aca="false">IF(J67&gt;0,T67^2,0)</f>
        <v>0</v>
      </c>
    </row>
    <row r="68" customFormat="false" ht="15" hidden="false" customHeight="false" outlineLevel="0" collapsed="false">
      <c r="A68" s="11" t="s">
        <v>63</v>
      </c>
      <c r="B68" s="11" t="n">
        <v>2023</v>
      </c>
      <c r="C68" s="11" t="n">
        <v>2014</v>
      </c>
      <c r="D68" s="11" t="n">
        <v>2024</v>
      </c>
      <c r="E68" s="1" t="n">
        <f aca="false">D68-B68</f>
        <v>1</v>
      </c>
      <c r="F68" s="1" t="n">
        <f aca="false">B68-C68+1</f>
        <v>10</v>
      </c>
      <c r="G68" s="1" t="n">
        <f aca="false">D68-C68+1</f>
        <v>11</v>
      </c>
      <c r="H68" s="8" t="n">
        <f aca="false">INDEX(Data!$B$3:$T$21,MATCH(C68,Data!$A$3:$A$21,0),MATCH(B68,Data!$B$2:$T$2,0))</f>
        <v>23172</v>
      </c>
      <c r="I68" s="8" t="n">
        <f aca="false">INDEX(Data!$B$25:$T$43,MATCH(C68,Data!$A$3:$A$21,0),MATCH(B68,Data!$B$2:$T$2,0))</f>
        <v>0</v>
      </c>
      <c r="J68" s="8" t="n">
        <f aca="false">H68+I68</f>
        <v>23172</v>
      </c>
      <c r="K68" s="3" t="n">
        <f aca="false">INDEX('pattern input'!$B$2:$AO$5,MATCH(A68&amp;"_"&amp;B68,'pattern input'!$A$2:$A$5,0),F68)</f>
        <v>0.879657077648734</v>
      </c>
      <c r="L68" s="3" t="n">
        <f aca="false">INDEX('pattern input'!$B$2:$AO$5,MATCH(A68&amp;"_"&amp;B68,'pattern input'!$A$2:$A$5,0),G68)</f>
        <v>0.899170799637284</v>
      </c>
      <c r="M68" s="8" t="n">
        <f aca="false">IF(K68&gt;=1,0,I68*(L68-INDEX('pattern input'!$B$2:$AO$5,MATCH(A68&amp;"_"&amp;B68,'pattern input'!$A$2:$A$5,0),G68-1))/(1-K68))</f>
        <v>0</v>
      </c>
      <c r="N68" s="8" t="n">
        <f aca="false">INDEX(Data!$B$3:$T$21,MATCH(C68,Data!$A$3:$A$21,0),MATCH(D68,Data!$B$2:$T$2,0))-INDEX(Data!$B$3:$T$21,MATCH(C68,Data!$A$3:$A$21,0),MATCH(D68-1,Data!$B$2:$T$2,0))</f>
        <v>0</v>
      </c>
      <c r="O68" s="9" t="n">
        <f aca="false">M68-N68</f>
        <v>0</v>
      </c>
      <c r="P68" s="8" t="n">
        <f aca="false">IF(K68&gt;=1,H68+I68,H68+I68*(L68-K68)/(1-K68))</f>
        <v>23172</v>
      </c>
      <c r="Q68" s="8" t="n">
        <f aca="false">INDEX(Data!$B$3:$T$21,MATCH(C68,Data!$A$3:$A$21,0),MATCH(D68,Data!$B$2:$T$2,0))</f>
        <v>23172</v>
      </c>
      <c r="R68" s="3" t="n">
        <f aca="false">IF(J68&gt;0,P68/J68,"")</f>
        <v>1</v>
      </c>
      <c r="S68" s="3" t="n">
        <f aca="false">IF(J68&gt;0,Q68/J68,"")</f>
        <v>1</v>
      </c>
      <c r="T68" s="6" t="n">
        <f aca="false">IF(J68&gt;0,R68-S68,"")</f>
        <v>0</v>
      </c>
      <c r="U68" s="1" t="s">
        <v>20</v>
      </c>
      <c r="V68" s="8" t="n">
        <f aca="false">ABS(O68)</f>
        <v>0</v>
      </c>
      <c r="W68" s="8" t="n">
        <f aca="false">O68^2</f>
        <v>0</v>
      </c>
      <c r="X68" s="12" t="n">
        <f aca="false">IF(M68&gt;0,O68^2/M68,0)</f>
        <v>0</v>
      </c>
      <c r="Y68" s="8" t="n">
        <f aca="false">IF(V68&lt;=Metrics!$C$3,0.5*O68^2,Metrics!$C$3*(V68-0.5*Metrics!$C$3))</f>
        <v>0</v>
      </c>
      <c r="Z68" s="8" t="n">
        <f aca="false">ABS(P68-Q68)</f>
        <v>0</v>
      </c>
      <c r="AA68" s="13" t="n">
        <f aca="false">IF(J68&gt;0,T68^2,0)</f>
        <v>0</v>
      </c>
    </row>
    <row r="69" customFormat="false" ht="15" hidden="false" customHeight="false" outlineLevel="0" collapsed="false">
      <c r="A69" s="11" t="s">
        <v>63</v>
      </c>
      <c r="B69" s="11" t="n">
        <v>2023</v>
      </c>
      <c r="C69" s="11" t="n">
        <v>2014</v>
      </c>
      <c r="D69" s="11" t="n">
        <v>2025</v>
      </c>
      <c r="E69" s="1" t="n">
        <f aca="false">D69-B69</f>
        <v>2</v>
      </c>
      <c r="F69" s="1" t="n">
        <f aca="false">B69-C69+1</f>
        <v>10</v>
      </c>
      <c r="G69" s="1" t="n">
        <f aca="false">D69-C69+1</f>
        <v>12</v>
      </c>
      <c r="H69" s="8" t="n">
        <f aca="false">INDEX(Data!$B$3:$T$21,MATCH(C69,Data!$A$3:$A$21,0),MATCH(B69,Data!$B$2:$T$2,0))</f>
        <v>23172</v>
      </c>
      <c r="I69" s="8" t="n">
        <f aca="false">INDEX(Data!$B$25:$T$43,MATCH(C69,Data!$A$3:$A$21,0),MATCH(B69,Data!$B$2:$T$2,0))</f>
        <v>0</v>
      </c>
      <c r="J69" s="8" t="n">
        <f aca="false">H69+I69</f>
        <v>23172</v>
      </c>
      <c r="K69" s="3" t="n">
        <f aca="false">INDEX('pattern input'!$B$2:$AO$5,MATCH(A69&amp;"_"&amp;B69,'pattern input'!$A$2:$A$5,0),F69)</f>
        <v>0.879657077648734</v>
      </c>
      <c r="L69" s="3" t="n">
        <f aca="false">INDEX('pattern input'!$B$2:$AO$5,MATCH(A69&amp;"_"&amp;B69,'pattern input'!$A$2:$A$5,0),G69)</f>
        <v>0.916985432071117</v>
      </c>
      <c r="M69" s="8" t="n">
        <f aca="false">IF(K69&gt;=1,0,I69*(L69-INDEX('pattern input'!$B$2:$AO$5,MATCH(A69&amp;"_"&amp;B69,'pattern input'!$A$2:$A$5,0),G69-1))/(1-K69))</f>
        <v>0</v>
      </c>
      <c r="N69" s="8" t="n">
        <f aca="false">INDEX(Data!$B$3:$T$21,MATCH(C69,Data!$A$3:$A$21,0),MATCH(D69,Data!$B$2:$T$2,0))-INDEX(Data!$B$3:$T$21,MATCH(C69,Data!$A$3:$A$21,0),MATCH(D69-1,Data!$B$2:$T$2,0))</f>
        <v>0</v>
      </c>
      <c r="O69" s="9" t="n">
        <f aca="false">M69-N69</f>
        <v>0</v>
      </c>
      <c r="P69" s="8" t="n">
        <f aca="false">IF(K69&gt;=1,H69+I69,H69+I69*(L69-K69)/(1-K69))</f>
        <v>23172</v>
      </c>
      <c r="Q69" s="8" t="n">
        <f aca="false">INDEX(Data!$B$3:$T$21,MATCH(C69,Data!$A$3:$A$21,0),MATCH(D69,Data!$B$2:$T$2,0))</f>
        <v>23172</v>
      </c>
      <c r="R69" s="3" t="n">
        <f aca="false">IF(J69&gt;0,P69/J69,"")</f>
        <v>1</v>
      </c>
      <c r="S69" s="3" t="n">
        <f aca="false">IF(J69&gt;0,Q69/J69,"")</f>
        <v>1</v>
      </c>
      <c r="T69" s="6" t="n">
        <f aca="false">IF(J69&gt;0,R69-S69,"")</f>
        <v>0</v>
      </c>
      <c r="U69" s="1" t="s">
        <v>20</v>
      </c>
      <c r="V69" s="8" t="n">
        <f aca="false">ABS(O69)</f>
        <v>0</v>
      </c>
      <c r="W69" s="8" t="n">
        <f aca="false">O69^2</f>
        <v>0</v>
      </c>
      <c r="X69" s="12" t="n">
        <f aca="false">IF(M69&gt;0,O69^2/M69,0)</f>
        <v>0</v>
      </c>
      <c r="Y69" s="8" t="n">
        <f aca="false">IF(V69&lt;=Metrics!$C$3,0.5*O69^2,Metrics!$C$3*(V69-0.5*Metrics!$C$3))</f>
        <v>0</v>
      </c>
      <c r="Z69" s="8" t="n">
        <f aca="false">ABS(P69-Q69)</f>
        <v>0</v>
      </c>
      <c r="AA69" s="13" t="n">
        <f aca="false">IF(J69&gt;0,T69^2,0)</f>
        <v>0</v>
      </c>
    </row>
    <row r="70" customFormat="false" ht="15" hidden="false" customHeight="false" outlineLevel="0" collapsed="false">
      <c r="A70" s="11" t="s">
        <v>63</v>
      </c>
      <c r="B70" s="11" t="n">
        <v>2023</v>
      </c>
      <c r="C70" s="11" t="n">
        <v>2015</v>
      </c>
      <c r="D70" s="11" t="n">
        <v>2024</v>
      </c>
      <c r="E70" s="1" t="n">
        <f aca="false">D70-B70</f>
        <v>1</v>
      </c>
      <c r="F70" s="1" t="n">
        <f aca="false">B70-C70+1</f>
        <v>9</v>
      </c>
      <c r="G70" s="1" t="n">
        <f aca="false">D70-C70+1</f>
        <v>10</v>
      </c>
      <c r="H70" s="8" t="n">
        <f aca="false">INDEX(Data!$B$3:$T$21,MATCH(C70,Data!$A$3:$A$21,0),MATCH(B70,Data!$B$2:$T$2,0))</f>
        <v>31462</v>
      </c>
      <c r="I70" s="8" t="n">
        <f aca="false">INDEX(Data!$B$25:$T$43,MATCH(C70,Data!$A$3:$A$21,0),MATCH(B70,Data!$B$2:$T$2,0))</f>
        <v>0</v>
      </c>
      <c r="J70" s="8" t="n">
        <f aca="false">H70+I70</f>
        <v>31462</v>
      </c>
      <c r="K70" s="3" t="n">
        <f aca="false">INDEX('pattern input'!$B$2:$AO$5,MATCH(A70&amp;"_"&amp;B70,'pattern input'!$A$2:$A$5,0),F70)</f>
        <v>0.858085658778913</v>
      </c>
      <c r="L70" s="3" t="n">
        <f aca="false">INDEX('pattern input'!$B$2:$AO$5,MATCH(A70&amp;"_"&amp;B70,'pattern input'!$A$2:$A$5,0),G70)</f>
        <v>0.879657077648734</v>
      </c>
      <c r="M70" s="8" t="n">
        <f aca="false">IF(K70&gt;=1,0,I70*(L70-INDEX('pattern input'!$B$2:$AO$5,MATCH(A70&amp;"_"&amp;B70,'pattern input'!$A$2:$A$5,0),G70-1))/(1-K70))</f>
        <v>0</v>
      </c>
      <c r="N70" s="8" t="n">
        <f aca="false">INDEX(Data!$B$3:$T$21,MATCH(C70,Data!$A$3:$A$21,0),MATCH(D70,Data!$B$2:$T$2,0))-INDEX(Data!$B$3:$T$21,MATCH(C70,Data!$A$3:$A$21,0),MATCH(D70-1,Data!$B$2:$T$2,0))</f>
        <v>0</v>
      </c>
      <c r="O70" s="9" t="n">
        <f aca="false">M70-N70</f>
        <v>0</v>
      </c>
      <c r="P70" s="8" t="n">
        <f aca="false">IF(K70&gt;=1,H70+I70,H70+I70*(L70-K70)/(1-K70))</f>
        <v>31462</v>
      </c>
      <c r="Q70" s="8" t="n">
        <f aca="false">INDEX(Data!$B$3:$T$21,MATCH(C70,Data!$A$3:$A$21,0),MATCH(D70,Data!$B$2:$T$2,0))</f>
        <v>31462</v>
      </c>
      <c r="R70" s="3" t="n">
        <f aca="false">IF(J70&gt;0,P70/J70,"")</f>
        <v>1</v>
      </c>
      <c r="S70" s="3" t="n">
        <f aca="false">IF(J70&gt;0,Q70/J70,"")</f>
        <v>1</v>
      </c>
      <c r="T70" s="6" t="n">
        <f aca="false">IF(J70&gt;0,R70-S70,"")</f>
        <v>0</v>
      </c>
      <c r="U70" s="1" t="s">
        <v>20</v>
      </c>
      <c r="V70" s="8" t="n">
        <f aca="false">ABS(O70)</f>
        <v>0</v>
      </c>
      <c r="W70" s="8" t="n">
        <f aca="false">O70^2</f>
        <v>0</v>
      </c>
      <c r="X70" s="12" t="n">
        <f aca="false">IF(M70&gt;0,O70^2/M70,0)</f>
        <v>0</v>
      </c>
      <c r="Y70" s="8" t="n">
        <f aca="false">IF(V70&lt;=Metrics!$C$3,0.5*O70^2,Metrics!$C$3*(V70-0.5*Metrics!$C$3))</f>
        <v>0</v>
      </c>
      <c r="Z70" s="8" t="n">
        <f aca="false">ABS(P70-Q70)</f>
        <v>0</v>
      </c>
      <c r="AA70" s="13" t="n">
        <f aca="false">IF(J70&gt;0,T70^2,0)</f>
        <v>0</v>
      </c>
    </row>
    <row r="71" customFormat="false" ht="15" hidden="false" customHeight="false" outlineLevel="0" collapsed="false">
      <c r="A71" s="11" t="s">
        <v>63</v>
      </c>
      <c r="B71" s="11" t="n">
        <v>2023</v>
      </c>
      <c r="C71" s="11" t="n">
        <v>2015</v>
      </c>
      <c r="D71" s="11" t="n">
        <v>2025</v>
      </c>
      <c r="E71" s="1" t="n">
        <f aca="false">D71-B71</f>
        <v>2</v>
      </c>
      <c r="F71" s="1" t="n">
        <f aca="false">B71-C71+1</f>
        <v>9</v>
      </c>
      <c r="G71" s="1" t="n">
        <f aca="false">D71-C71+1</f>
        <v>11</v>
      </c>
      <c r="H71" s="8" t="n">
        <f aca="false">INDEX(Data!$B$3:$T$21,MATCH(C71,Data!$A$3:$A$21,0),MATCH(B71,Data!$B$2:$T$2,0))</f>
        <v>31462</v>
      </c>
      <c r="I71" s="8" t="n">
        <f aca="false">INDEX(Data!$B$25:$T$43,MATCH(C71,Data!$A$3:$A$21,0),MATCH(B71,Data!$B$2:$T$2,0))</f>
        <v>0</v>
      </c>
      <c r="J71" s="8" t="n">
        <f aca="false">H71+I71</f>
        <v>31462</v>
      </c>
      <c r="K71" s="3" t="n">
        <f aca="false">INDEX('pattern input'!$B$2:$AO$5,MATCH(A71&amp;"_"&amp;B71,'pattern input'!$A$2:$A$5,0),F71)</f>
        <v>0.858085658778913</v>
      </c>
      <c r="L71" s="3" t="n">
        <f aca="false">INDEX('pattern input'!$B$2:$AO$5,MATCH(A71&amp;"_"&amp;B71,'pattern input'!$A$2:$A$5,0),G71)</f>
        <v>0.899170799637284</v>
      </c>
      <c r="M71" s="8" t="n">
        <f aca="false">IF(K71&gt;=1,0,I71*(L71-INDEX('pattern input'!$B$2:$AO$5,MATCH(A71&amp;"_"&amp;B71,'pattern input'!$A$2:$A$5,0),G71-1))/(1-K71))</f>
        <v>0</v>
      </c>
      <c r="N71" s="8" t="n">
        <f aca="false">INDEX(Data!$B$3:$T$21,MATCH(C71,Data!$A$3:$A$21,0),MATCH(D71,Data!$B$2:$T$2,0))-INDEX(Data!$B$3:$T$21,MATCH(C71,Data!$A$3:$A$21,0),MATCH(D71-1,Data!$B$2:$T$2,0))</f>
        <v>0</v>
      </c>
      <c r="O71" s="9" t="n">
        <f aca="false">M71-N71</f>
        <v>0</v>
      </c>
      <c r="P71" s="8" t="n">
        <f aca="false">IF(K71&gt;=1,H71+I71,H71+I71*(L71-K71)/(1-K71))</f>
        <v>31462</v>
      </c>
      <c r="Q71" s="8" t="n">
        <f aca="false">INDEX(Data!$B$3:$T$21,MATCH(C71,Data!$A$3:$A$21,0),MATCH(D71,Data!$B$2:$T$2,0))</f>
        <v>31462</v>
      </c>
      <c r="R71" s="3" t="n">
        <f aca="false">IF(J71&gt;0,P71/J71,"")</f>
        <v>1</v>
      </c>
      <c r="S71" s="3" t="n">
        <f aca="false">IF(J71&gt;0,Q71/J71,"")</f>
        <v>1</v>
      </c>
      <c r="T71" s="6" t="n">
        <f aca="false">IF(J71&gt;0,R71-S71,"")</f>
        <v>0</v>
      </c>
      <c r="U71" s="1" t="s">
        <v>20</v>
      </c>
      <c r="V71" s="8" t="n">
        <f aca="false">ABS(O71)</f>
        <v>0</v>
      </c>
      <c r="W71" s="8" t="n">
        <f aca="false">O71^2</f>
        <v>0</v>
      </c>
      <c r="X71" s="12" t="n">
        <f aca="false">IF(M71&gt;0,O71^2/M71,0)</f>
        <v>0</v>
      </c>
      <c r="Y71" s="8" t="n">
        <f aca="false">IF(V71&lt;=Metrics!$C$3,0.5*O71^2,Metrics!$C$3*(V71-0.5*Metrics!$C$3))</f>
        <v>0</v>
      </c>
      <c r="Z71" s="8" t="n">
        <f aca="false">ABS(P71-Q71)</f>
        <v>0</v>
      </c>
      <c r="AA71" s="13" t="n">
        <f aca="false">IF(J71&gt;0,T71^2,0)</f>
        <v>0</v>
      </c>
    </row>
    <row r="72" customFormat="false" ht="15" hidden="false" customHeight="false" outlineLevel="0" collapsed="false">
      <c r="A72" s="11" t="s">
        <v>63</v>
      </c>
      <c r="B72" s="11" t="n">
        <v>2023</v>
      </c>
      <c r="C72" s="11" t="n">
        <v>2016</v>
      </c>
      <c r="D72" s="11" t="n">
        <v>2024</v>
      </c>
      <c r="E72" s="1" t="n">
        <f aca="false">D72-B72</f>
        <v>1</v>
      </c>
      <c r="F72" s="1" t="n">
        <f aca="false">B72-C72+1</f>
        <v>8</v>
      </c>
      <c r="G72" s="1" t="n">
        <f aca="false">D72-C72+1</f>
        <v>9</v>
      </c>
      <c r="H72" s="8" t="n">
        <f aca="false">INDEX(Data!$B$3:$T$21,MATCH(C72,Data!$A$3:$A$21,0),MATCH(B72,Data!$B$2:$T$2,0))</f>
        <v>2439</v>
      </c>
      <c r="I72" s="8" t="n">
        <f aca="false">INDEX(Data!$B$25:$T$43,MATCH(C72,Data!$A$3:$A$21,0),MATCH(B72,Data!$B$2:$T$2,0))</f>
        <v>0</v>
      </c>
      <c r="J72" s="8" t="n">
        <f aca="false">H72+I72</f>
        <v>2439</v>
      </c>
      <c r="K72" s="3" t="n">
        <f aca="false">INDEX('pattern input'!$B$2:$AO$5,MATCH(A72&amp;"_"&amp;B72,'pattern input'!$A$2:$A$5,0),F72)</f>
        <v>0.833970864142234</v>
      </c>
      <c r="L72" s="3" t="n">
        <f aca="false">INDEX('pattern input'!$B$2:$AO$5,MATCH(A72&amp;"_"&amp;B72,'pattern input'!$A$2:$A$5,0),G72)</f>
        <v>0.858085658778913</v>
      </c>
      <c r="M72" s="8" t="n">
        <f aca="false">IF(K72&gt;=1,0,I72*(L72-INDEX('pattern input'!$B$2:$AO$5,MATCH(A72&amp;"_"&amp;B72,'pattern input'!$A$2:$A$5,0),G72-1))/(1-K72))</f>
        <v>0</v>
      </c>
      <c r="N72" s="8" t="n">
        <f aca="false">INDEX(Data!$B$3:$T$21,MATCH(C72,Data!$A$3:$A$21,0),MATCH(D72,Data!$B$2:$T$2,0))-INDEX(Data!$B$3:$T$21,MATCH(C72,Data!$A$3:$A$21,0),MATCH(D72-1,Data!$B$2:$T$2,0))</f>
        <v>0</v>
      </c>
      <c r="O72" s="9" t="n">
        <f aca="false">M72-N72</f>
        <v>0</v>
      </c>
      <c r="P72" s="8" t="n">
        <f aca="false">IF(K72&gt;=1,H72+I72,H72+I72*(L72-K72)/(1-K72))</f>
        <v>2439</v>
      </c>
      <c r="Q72" s="8" t="n">
        <f aca="false">INDEX(Data!$B$3:$T$21,MATCH(C72,Data!$A$3:$A$21,0),MATCH(D72,Data!$B$2:$T$2,0))</f>
        <v>2439</v>
      </c>
      <c r="R72" s="3" t="n">
        <f aca="false">IF(J72&gt;0,P72/J72,"")</f>
        <v>1</v>
      </c>
      <c r="S72" s="3" t="n">
        <f aca="false">IF(J72&gt;0,Q72/J72,"")</f>
        <v>1</v>
      </c>
      <c r="T72" s="6" t="n">
        <f aca="false">IF(J72&gt;0,R72-S72,"")</f>
        <v>0</v>
      </c>
      <c r="U72" s="1" t="s">
        <v>20</v>
      </c>
      <c r="V72" s="8" t="n">
        <f aca="false">ABS(O72)</f>
        <v>0</v>
      </c>
      <c r="W72" s="8" t="n">
        <f aca="false">O72^2</f>
        <v>0</v>
      </c>
      <c r="X72" s="12" t="n">
        <f aca="false">IF(M72&gt;0,O72^2/M72,0)</f>
        <v>0</v>
      </c>
      <c r="Y72" s="8" t="n">
        <f aca="false">IF(V72&lt;=Metrics!$C$3,0.5*O72^2,Metrics!$C$3*(V72-0.5*Metrics!$C$3))</f>
        <v>0</v>
      </c>
      <c r="Z72" s="8" t="n">
        <f aca="false">ABS(P72-Q72)</f>
        <v>0</v>
      </c>
      <c r="AA72" s="13" t="n">
        <f aca="false">IF(J72&gt;0,T72^2,0)</f>
        <v>0</v>
      </c>
    </row>
    <row r="73" customFormat="false" ht="15" hidden="false" customHeight="false" outlineLevel="0" collapsed="false">
      <c r="A73" s="11" t="s">
        <v>63</v>
      </c>
      <c r="B73" s="11" t="n">
        <v>2023</v>
      </c>
      <c r="C73" s="11" t="n">
        <v>2016</v>
      </c>
      <c r="D73" s="11" t="n">
        <v>2025</v>
      </c>
      <c r="E73" s="1" t="n">
        <f aca="false">D73-B73</f>
        <v>2</v>
      </c>
      <c r="F73" s="1" t="n">
        <f aca="false">B73-C73+1</f>
        <v>8</v>
      </c>
      <c r="G73" s="1" t="n">
        <f aca="false">D73-C73+1</f>
        <v>10</v>
      </c>
      <c r="H73" s="8" t="n">
        <f aca="false">INDEX(Data!$B$3:$T$21,MATCH(C73,Data!$A$3:$A$21,0),MATCH(B73,Data!$B$2:$T$2,0))</f>
        <v>2439</v>
      </c>
      <c r="I73" s="8" t="n">
        <f aca="false">INDEX(Data!$B$25:$T$43,MATCH(C73,Data!$A$3:$A$21,0),MATCH(B73,Data!$B$2:$T$2,0))</f>
        <v>0</v>
      </c>
      <c r="J73" s="8" t="n">
        <f aca="false">H73+I73</f>
        <v>2439</v>
      </c>
      <c r="K73" s="3" t="n">
        <f aca="false">INDEX('pattern input'!$B$2:$AO$5,MATCH(A73&amp;"_"&amp;B73,'pattern input'!$A$2:$A$5,0),F73)</f>
        <v>0.833970864142234</v>
      </c>
      <c r="L73" s="3" t="n">
        <f aca="false">INDEX('pattern input'!$B$2:$AO$5,MATCH(A73&amp;"_"&amp;B73,'pattern input'!$A$2:$A$5,0),G73)</f>
        <v>0.879657077648734</v>
      </c>
      <c r="M73" s="8" t="n">
        <f aca="false">IF(K73&gt;=1,0,I73*(L73-INDEX('pattern input'!$B$2:$AO$5,MATCH(A73&amp;"_"&amp;B73,'pattern input'!$A$2:$A$5,0),G73-1))/(1-K73))</f>
        <v>0</v>
      </c>
      <c r="N73" s="8" t="n">
        <f aca="false">INDEX(Data!$B$3:$T$21,MATCH(C73,Data!$A$3:$A$21,0),MATCH(D73,Data!$B$2:$T$2,0))-INDEX(Data!$B$3:$T$21,MATCH(C73,Data!$A$3:$A$21,0),MATCH(D73-1,Data!$B$2:$T$2,0))</f>
        <v>0</v>
      </c>
      <c r="O73" s="9" t="n">
        <f aca="false">M73-N73</f>
        <v>0</v>
      </c>
      <c r="P73" s="8" t="n">
        <f aca="false">IF(K73&gt;=1,H73+I73,H73+I73*(L73-K73)/(1-K73))</f>
        <v>2439</v>
      </c>
      <c r="Q73" s="8" t="n">
        <f aca="false">INDEX(Data!$B$3:$T$21,MATCH(C73,Data!$A$3:$A$21,0),MATCH(D73,Data!$B$2:$T$2,0))</f>
        <v>2439</v>
      </c>
      <c r="R73" s="3" t="n">
        <f aca="false">IF(J73&gt;0,P73/J73,"")</f>
        <v>1</v>
      </c>
      <c r="S73" s="3" t="n">
        <f aca="false">IF(J73&gt;0,Q73/J73,"")</f>
        <v>1</v>
      </c>
      <c r="T73" s="6" t="n">
        <f aca="false">IF(J73&gt;0,R73-S73,"")</f>
        <v>0</v>
      </c>
      <c r="U73" s="1" t="s">
        <v>20</v>
      </c>
      <c r="V73" s="8" t="n">
        <f aca="false">ABS(O73)</f>
        <v>0</v>
      </c>
      <c r="W73" s="8" t="n">
        <f aca="false">O73^2</f>
        <v>0</v>
      </c>
      <c r="X73" s="12" t="n">
        <f aca="false">IF(M73&gt;0,O73^2/M73,0)</f>
        <v>0</v>
      </c>
      <c r="Y73" s="8" t="n">
        <f aca="false">IF(V73&lt;=Metrics!$C$3,0.5*O73^2,Metrics!$C$3*(V73-0.5*Metrics!$C$3))</f>
        <v>0</v>
      </c>
      <c r="Z73" s="8" t="n">
        <f aca="false">ABS(P73-Q73)</f>
        <v>0</v>
      </c>
      <c r="AA73" s="13" t="n">
        <f aca="false">IF(J73&gt;0,T73^2,0)</f>
        <v>0</v>
      </c>
    </row>
    <row r="74" customFormat="false" ht="15" hidden="false" customHeight="false" outlineLevel="0" collapsed="false">
      <c r="A74" s="11" t="s">
        <v>63</v>
      </c>
      <c r="B74" s="11" t="n">
        <v>2023</v>
      </c>
      <c r="C74" s="11" t="n">
        <v>2017</v>
      </c>
      <c r="D74" s="11" t="n">
        <v>2024</v>
      </c>
      <c r="E74" s="1" t="n">
        <f aca="false">D74-B74</f>
        <v>1</v>
      </c>
      <c r="F74" s="1" t="n">
        <f aca="false">B74-C74+1</f>
        <v>7</v>
      </c>
      <c r="G74" s="1" t="n">
        <f aca="false">D74-C74+1</f>
        <v>8</v>
      </c>
      <c r="H74" s="8" t="n">
        <f aca="false">INDEX(Data!$B$3:$T$21,MATCH(C74,Data!$A$3:$A$21,0),MATCH(B74,Data!$B$2:$T$2,0))</f>
        <v>6410</v>
      </c>
      <c r="I74" s="8" t="n">
        <f aca="false">INDEX(Data!$B$25:$T$43,MATCH(C74,Data!$A$3:$A$21,0),MATCH(B74,Data!$B$2:$T$2,0))</f>
        <v>0</v>
      </c>
      <c r="J74" s="8" t="n">
        <f aca="false">H74+I74</f>
        <v>6410</v>
      </c>
      <c r="K74" s="3" t="n">
        <f aca="false">INDEX('pattern input'!$B$2:$AO$5,MATCH(A74&amp;"_"&amp;B74,'pattern input'!$A$2:$A$5,0),F74)</f>
        <v>0.806631764816554</v>
      </c>
      <c r="L74" s="3" t="n">
        <f aca="false">INDEX('pattern input'!$B$2:$AO$5,MATCH(A74&amp;"_"&amp;B74,'pattern input'!$A$2:$A$5,0),G74)</f>
        <v>0.833970864142234</v>
      </c>
      <c r="M74" s="8" t="n">
        <f aca="false">IF(K74&gt;=1,0,I74*(L74-INDEX('pattern input'!$B$2:$AO$5,MATCH(A74&amp;"_"&amp;B74,'pattern input'!$A$2:$A$5,0),G74-1))/(1-K74))</f>
        <v>0</v>
      </c>
      <c r="N74" s="8" t="n">
        <f aca="false">INDEX(Data!$B$3:$T$21,MATCH(C74,Data!$A$3:$A$21,0),MATCH(D74,Data!$B$2:$T$2,0))-INDEX(Data!$B$3:$T$21,MATCH(C74,Data!$A$3:$A$21,0),MATCH(D74-1,Data!$B$2:$T$2,0))</f>
        <v>0</v>
      </c>
      <c r="O74" s="9" t="n">
        <f aca="false">M74-N74</f>
        <v>0</v>
      </c>
      <c r="P74" s="8" t="n">
        <f aca="false">IF(K74&gt;=1,H74+I74,H74+I74*(L74-K74)/(1-K74))</f>
        <v>6410</v>
      </c>
      <c r="Q74" s="8" t="n">
        <f aca="false">INDEX(Data!$B$3:$T$21,MATCH(C74,Data!$A$3:$A$21,0),MATCH(D74,Data!$B$2:$T$2,0))</f>
        <v>6410</v>
      </c>
      <c r="R74" s="3" t="n">
        <f aca="false">IF(J74&gt;0,P74/J74,"")</f>
        <v>1</v>
      </c>
      <c r="S74" s="3" t="n">
        <f aca="false">IF(J74&gt;0,Q74/J74,"")</f>
        <v>1</v>
      </c>
      <c r="T74" s="6" t="n">
        <f aca="false">IF(J74&gt;0,R74-S74,"")</f>
        <v>0</v>
      </c>
      <c r="U74" s="1" t="s">
        <v>20</v>
      </c>
      <c r="V74" s="8" t="n">
        <f aca="false">ABS(O74)</f>
        <v>0</v>
      </c>
      <c r="W74" s="8" t="n">
        <f aca="false">O74^2</f>
        <v>0</v>
      </c>
      <c r="X74" s="12" t="n">
        <f aca="false">IF(M74&gt;0,O74^2/M74,0)</f>
        <v>0</v>
      </c>
      <c r="Y74" s="8" t="n">
        <f aca="false">IF(V74&lt;=Metrics!$C$3,0.5*O74^2,Metrics!$C$3*(V74-0.5*Metrics!$C$3))</f>
        <v>0</v>
      </c>
      <c r="Z74" s="8" t="n">
        <f aca="false">ABS(P74-Q74)</f>
        <v>0</v>
      </c>
      <c r="AA74" s="13" t="n">
        <f aca="false">IF(J74&gt;0,T74^2,0)</f>
        <v>0</v>
      </c>
    </row>
    <row r="75" customFormat="false" ht="15" hidden="false" customHeight="false" outlineLevel="0" collapsed="false">
      <c r="A75" s="11" t="s">
        <v>63</v>
      </c>
      <c r="B75" s="11" t="n">
        <v>2023</v>
      </c>
      <c r="C75" s="11" t="n">
        <v>2017</v>
      </c>
      <c r="D75" s="11" t="n">
        <v>2025</v>
      </c>
      <c r="E75" s="1" t="n">
        <f aca="false">D75-B75</f>
        <v>2</v>
      </c>
      <c r="F75" s="1" t="n">
        <f aca="false">B75-C75+1</f>
        <v>7</v>
      </c>
      <c r="G75" s="1" t="n">
        <f aca="false">D75-C75+1</f>
        <v>9</v>
      </c>
      <c r="H75" s="8" t="n">
        <f aca="false">INDEX(Data!$B$3:$T$21,MATCH(C75,Data!$A$3:$A$21,0),MATCH(B75,Data!$B$2:$T$2,0))</f>
        <v>6410</v>
      </c>
      <c r="I75" s="8" t="n">
        <f aca="false">INDEX(Data!$B$25:$T$43,MATCH(C75,Data!$A$3:$A$21,0),MATCH(B75,Data!$B$2:$T$2,0))</f>
        <v>0</v>
      </c>
      <c r="J75" s="8" t="n">
        <f aca="false">H75+I75</f>
        <v>6410</v>
      </c>
      <c r="K75" s="3" t="n">
        <f aca="false">INDEX('pattern input'!$B$2:$AO$5,MATCH(A75&amp;"_"&amp;B75,'pattern input'!$A$2:$A$5,0),F75)</f>
        <v>0.806631764816554</v>
      </c>
      <c r="L75" s="3" t="n">
        <f aca="false">INDEX('pattern input'!$B$2:$AO$5,MATCH(A75&amp;"_"&amp;B75,'pattern input'!$A$2:$A$5,0),G75)</f>
        <v>0.858085658778913</v>
      </c>
      <c r="M75" s="8" t="n">
        <f aca="false">IF(K75&gt;=1,0,I75*(L75-INDEX('pattern input'!$B$2:$AO$5,MATCH(A75&amp;"_"&amp;B75,'pattern input'!$A$2:$A$5,0),G75-1))/(1-K75))</f>
        <v>0</v>
      </c>
      <c r="N75" s="8" t="n">
        <f aca="false">INDEX(Data!$B$3:$T$21,MATCH(C75,Data!$A$3:$A$21,0),MATCH(D75,Data!$B$2:$T$2,0))-INDEX(Data!$B$3:$T$21,MATCH(C75,Data!$A$3:$A$21,0),MATCH(D75-1,Data!$B$2:$T$2,0))</f>
        <v>0</v>
      </c>
      <c r="O75" s="9" t="n">
        <f aca="false">M75-N75</f>
        <v>0</v>
      </c>
      <c r="P75" s="8" t="n">
        <f aca="false">IF(K75&gt;=1,H75+I75,H75+I75*(L75-K75)/(1-K75))</f>
        <v>6410</v>
      </c>
      <c r="Q75" s="8" t="n">
        <f aca="false">INDEX(Data!$B$3:$T$21,MATCH(C75,Data!$A$3:$A$21,0),MATCH(D75,Data!$B$2:$T$2,0))</f>
        <v>6410</v>
      </c>
      <c r="R75" s="3" t="n">
        <f aca="false">IF(J75&gt;0,P75/J75,"")</f>
        <v>1</v>
      </c>
      <c r="S75" s="3" t="n">
        <f aca="false">IF(J75&gt;0,Q75/J75,"")</f>
        <v>1</v>
      </c>
      <c r="T75" s="6" t="n">
        <f aca="false">IF(J75&gt;0,R75-S75,"")</f>
        <v>0</v>
      </c>
      <c r="U75" s="1" t="s">
        <v>20</v>
      </c>
      <c r="V75" s="8" t="n">
        <f aca="false">ABS(O75)</f>
        <v>0</v>
      </c>
      <c r="W75" s="8" t="n">
        <f aca="false">O75^2</f>
        <v>0</v>
      </c>
      <c r="X75" s="12" t="n">
        <f aca="false">IF(M75&gt;0,O75^2/M75,0)</f>
        <v>0</v>
      </c>
      <c r="Y75" s="8" t="n">
        <f aca="false">IF(V75&lt;=Metrics!$C$3,0.5*O75^2,Metrics!$C$3*(V75-0.5*Metrics!$C$3))</f>
        <v>0</v>
      </c>
      <c r="Z75" s="8" t="n">
        <f aca="false">ABS(P75-Q75)</f>
        <v>0</v>
      </c>
      <c r="AA75" s="13" t="n">
        <f aca="false">IF(J75&gt;0,T75^2,0)</f>
        <v>0</v>
      </c>
    </row>
    <row r="76" customFormat="false" ht="15" hidden="false" customHeight="false" outlineLevel="0" collapsed="false">
      <c r="A76" s="11" t="s">
        <v>63</v>
      </c>
      <c r="B76" s="11" t="n">
        <v>2023</v>
      </c>
      <c r="C76" s="11" t="n">
        <v>2018</v>
      </c>
      <c r="D76" s="11" t="n">
        <v>2024</v>
      </c>
      <c r="E76" s="1" t="n">
        <f aca="false">D76-B76</f>
        <v>1</v>
      </c>
      <c r="F76" s="1" t="n">
        <f aca="false">B76-C76+1</f>
        <v>6</v>
      </c>
      <c r="G76" s="1" t="n">
        <f aca="false">D76-C76+1</f>
        <v>7</v>
      </c>
      <c r="H76" s="8" t="n">
        <f aca="false">INDEX(Data!$B$3:$T$21,MATCH(C76,Data!$A$3:$A$21,0),MATCH(B76,Data!$B$2:$T$2,0))</f>
        <v>1613</v>
      </c>
      <c r="I76" s="8" t="n">
        <f aca="false">INDEX(Data!$B$25:$T$43,MATCH(C76,Data!$A$3:$A$21,0),MATCH(B76,Data!$B$2:$T$2,0))</f>
        <v>747</v>
      </c>
      <c r="J76" s="8" t="n">
        <f aca="false">H76+I76</f>
        <v>2360</v>
      </c>
      <c r="K76" s="3" t="n">
        <f aca="false">INDEX('pattern input'!$B$2:$AO$5,MATCH(A76&amp;"_"&amp;B76,'pattern input'!$A$2:$A$5,0),F76)</f>
        <v>0.77507109085003</v>
      </c>
      <c r="L76" s="3" t="n">
        <f aca="false">INDEX('pattern input'!$B$2:$AO$5,MATCH(A76&amp;"_"&amp;B76,'pattern input'!$A$2:$A$5,0),G76)</f>
        <v>0.806631764816554</v>
      </c>
      <c r="M76" s="8" t="n">
        <f aca="false">IF(K76&gt;=1,0,I76*(L76-INDEX('pattern input'!$B$2:$AO$5,MATCH(A76&amp;"_"&amp;B76,'pattern input'!$A$2:$A$5,0),G76-1))/(1-K76))</f>
        <v>104.814554705704</v>
      </c>
      <c r="N76" s="8" t="n">
        <f aca="false">INDEX(Data!$B$3:$T$21,MATCH(C76,Data!$A$3:$A$21,0),MATCH(D76,Data!$B$2:$T$2,0))-INDEX(Data!$B$3:$T$21,MATCH(C76,Data!$A$3:$A$21,0),MATCH(D76-1,Data!$B$2:$T$2,0))</f>
        <v>0</v>
      </c>
      <c r="O76" s="9" t="n">
        <f aca="false">M76-N76</f>
        <v>104.814554705704</v>
      </c>
      <c r="P76" s="8" t="n">
        <f aca="false">IF(K76&gt;=1,H76+I76,H76+I76*(L76-K76)/(1-K76))</f>
        <v>1717.8145547057</v>
      </c>
      <c r="Q76" s="8" t="n">
        <f aca="false">INDEX(Data!$B$3:$T$21,MATCH(C76,Data!$A$3:$A$21,0),MATCH(D76,Data!$B$2:$T$2,0))</f>
        <v>1613</v>
      </c>
      <c r="R76" s="3" t="n">
        <f aca="false">IF(J76&gt;0,P76/J76,"")</f>
        <v>0.727887523180383</v>
      </c>
      <c r="S76" s="3" t="n">
        <f aca="false">IF(J76&gt;0,Q76/J76,"")</f>
        <v>0.683474576271187</v>
      </c>
      <c r="T76" s="6" t="n">
        <f aca="false">IF(J76&gt;0,R76-S76,"")</f>
        <v>0.0444129469091965</v>
      </c>
      <c r="U76" s="1" t="s">
        <v>20</v>
      </c>
      <c r="V76" s="8" t="n">
        <f aca="false">ABS(O76)</f>
        <v>104.814554705704</v>
      </c>
      <c r="W76" s="8" t="n">
        <f aca="false">O76^2</f>
        <v>10986.090878155</v>
      </c>
      <c r="X76" s="12" t="n">
        <f aca="false">IF(M76&gt;0,O76^2/M76,0)</f>
        <v>104.814554705704</v>
      </c>
      <c r="Y76" s="8" t="n">
        <f aca="false">IF(V76&lt;=Metrics!$C$3,0.5*O76^2,Metrics!$C$3*(V76-0.5*Metrics!$C$3))</f>
        <v>5493.04543907748</v>
      </c>
      <c r="Z76" s="8" t="n">
        <f aca="false">ABS(P76-Q76)</f>
        <v>104.814554705704</v>
      </c>
      <c r="AA76" s="13" t="n">
        <f aca="false">IF(J76&gt;0,T76^2,0)</f>
        <v>0.00197250985315911</v>
      </c>
    </row>
    <row r="77" customFormat="false" ht="15" hidden="false" customHeight="false" outlineLevel="0" collapsed="false">
      <c r="A77" s="11" t="s">
        <v>63</v>
      </c>
      <c r="B77" s="11" t="n">
        <v>2023</v>
      </c>
      <c r="C77" s="11" t="n">
        <v>2018</v>
      </c>
      <c r="D77" s="11" t="n">
        <v>2025</v>
      </c>
      <c r="E77" s="1" t="n">
        <f aca="false">D77-B77</f>
        <v>2</v>
      </c>
      <c r="F77" s="1" t="n">
        <f aca="false">B77-C77+1</f>
        <v>6</v>
      </c>
      <c r="G77" s="1" t="n">
        <f aca="false">D77-C77+1</f>
        <v>8</v>
      </c>
      <c r="H77" s="8" t="n">
        <f aca="false">INDEX(Data!$B$3:$T$21,MATCH(C77,Data!$A$3:$A$21,0),MATCH(B77,Data!$B$2:$T$2,0))</f>
        <v>1613</v>
      </c>
      <c r="I77" s="8" t="n">
        <f aca="false">INDEX(Data!$B$25:$T$43,MATCH(C77,Data!$A$3:$A$21,0),MATCH(B77,Data!$B$2:$T$2,0))</f>
        <v>747</v>
      </c>
      <c r="J77" s="8" t="n">
        <f aca="false">H77+I77</f>
        <v>2360</v>
      </c>
      <c r="K77" s="3" t="n">
        <f aca="false">INDEX('pattern input'!$B$2:$AO$5,MATCH(A77&amp;"_"&amp;B77,'pattern input'!$A$2:$A$5,0),F77)</f>
        <v>0.77507109085003</v>
      </c>
      <c r="L77" s="3" t="n">
        <f aca="false">INDEX('pattern input'!$B$2:$AO$5,MATCH(A77&amp;"_"&amp;B77,'pattern input'!$A$2:$A$5,0),G77)</f>
        <v>0.833970864142234</v>
      </c>
      <c r="M77" s="8" t="n">
        <f aca="false">IF(K77&gt;=1,0,I77*(L77-INDEX('pattern input'!$B$2:$AO$5,MATCH(A77&amp;"_"&amp;B77,'pattern input'!$A$2:$A$5,0),G77-1))/(1-K77))</f>
        <v>90.7944971300536</v>
      </c>
      <c r="N77" s="8" t="n">
        <f aca="false">INDEX(Data!$B$3:$T$21,MATCH(C77,Data!$A$3:$A$21,0),MATCH(D77,Data!$B$2:$T$2,0))-INDEX(Data!$B$3:$T$21,MATCH(C77,Data!$A$3:$A$21,0),MATCH(D77-1,Data!$B$2:$T$2,0))</f>
        <v>0</v>
      </c>
      <c r="O77" s="9" t="n">
        <f aca="false">M77-N77</f>
        <v>90.7944971300536</v>
      </c>
      <c r="P77" s="8" t="n">
        <f aca="false">IF(K77&gt;=1,H77+I77,H77+I77*(L77-K77)/(1-K77))</f>
        <v>1808.60905183576</v>
      </c>
      <c r="Q77" s="8" t="n">
        <f aca="false">INDEX(Data!$B$3:$T$21,MATCH(C77,Data!$A$3:$A$21,0),MATCH(D77,Data!$B$2:$T$2,0))</f>
        <v>1613</v>
      </c>
      <c r="R77" s="3" t="n">
        <f aca="false">IF(J77&gt;0,P77/J77,"")</f>
        <v>0.766359767727016</v>
      </c>
      <c r="S77" s="3" t="n">
        <f aca="false">IF(J77&gt;0,Q77/J77,"")</f>
        <v>0.683474576271187</v>
      </c>
      <c r="T77" s="6" t="n">
        <f aca="false">IF(J77&gt;0,R77-S77,"")</f>
        <v>0.0828851914558294</v>
      </c>
      <c r="U77" s="1" t="s">
        <v>20</v>
      </c>
      <c r="V77" s="8" t="n">
        <f aca="false">ABS(O77)</f>
        <v>90.7944971300536</v>
      </c>
      <c r="W77" s="8" t="n">
        <f aca="false">O77^2</f>
        <v>8243.64070909931</v>
      </c>
      <c r="X77" s="12" t="n">
        <f aca="false">IF(M77&gt;0,O77^2/M77,0)</f>
        <v>90.7944971300536</v>
      </c>
      <c r="Y77" s="8" t="n">
        <f aca="false">IF(V77&lt;=Metrics!$C$3,0.5*O77^2,Metrics!$C$3*(V77-0.5*Metrics!$C$3))</f>
        <v>4121.82035454965</v>
      </c>
      <c r="Z77" s="8" t="n">
        <f aca="false">ABS(P77-Q77)</f>
        <v>195.609051835757</v>
      </c>
      <c r="AA77" s="13" t="n">
        <f aca="false">IF(J77&gt;0,T77^2,0)</f>
        <v>0.0068699549626695</v>
      </c>
    </row>
    <row r="78" customFormat="false" ht="15" hidden="false" customHeight="false" outlineLevel="0" collapsed="false">
      <c r="A78" s="11" t="s">
        <v>63</v>
      </c>
      <c r="B78" s="11" t="n">
        <v>2023</v>
      </c>
      <c r="C78" s="11" t="n">
        <v>2019</v>
      </c>
      <c r="D78" s="11" t="n">
        <v>2024</v>
      </c>
      <c r="E78" s="1" t="n">
        <f aca="false">D78-B78</f>
        <v>1</v>
      </c>
      <c r="F78" s="1" t="n">
        <f aca="false">B78-C78+1</f>
        <v>5</v>
      </c>
      <c r="G78" s="1" t="n">
        <f aca="false">D78-C78+1</f>
        <v>6</v>
      </c>
      <c r="H78" s="8" t="n">
        <f aca="false">INDEX(Data!$B$3:$T$21,MATCH(C78,Data!$A$3:$A$21,0),MATCH(B78,Data!$B$2:$T$2,0))</f>
        <v>28896</v>
      </c>
      <c r="I78" s="8" t="n">
        <f aca="false">INDEX(Data!$B$25:$T$43,MATCH(C78,Data!$A$3:$A$21,0),MATCH(B78,Data!$B$2:$T$2,0))</f>
        <v>1692</v>
      </c>
      <c r="J78" s="8" t="n">
        <f aca="false">H78+I78</f>
        <v>30588</v>
      </c>
      <c r="K78" s="3" t="n">
        <f aca="false">INDEX('pattern input'!$B$2:$AO$5,MATCH(A78&amp;"_"&amp;B78,'pattern input'!$A$2:$A$5,0),F78)</f>
        <v>0.77507109085003</v>
      </c>
      <c r="L78" s="3" t="n">
        <f aca="false">INDEX('pattern input'!$B$2:$AO$5,MATCH(A78&amp;"_"&amp;B78,'pattern input'!$A$2:$A$5,0),G78)</f>
        <v>0.77507109085003</v>
      </c>
      <c r="M78" s="8" t="n">
        <f aca="false">IF(K78&gt;=1,0,I78*(L78-INDEX('pattern input'!$B$2:$AO$5,MATCH(A78&amp;"_"&amp;B78,'pattern input'!$A$2:$A$5,0),G78-1))/(1-K78))</f>
        <v>0</v>
      </c>
      <c r="N78" s="8" t="n">
        <f aca="false">INDEX(Data!$B$3:$T$21,MATCH(C78,Data!$A$3:$A$21,0),MATCH(D78,Data!$B$2:$T$2,0))-INDEX(Data!$B$3:$T$21,MATCH(C78,Data!$A$3:$A$21,0),MATCH(D78-1,Data!$B$2:$T$2,0))</f>
        <v>0</v>
      </c>
      <c r="O78" s="9" t="n">
        <f aca="false">M78-N78</f>
        <v>0</v>
      </c>
      <c r="P78" s="8" t="n">
        <f aca="false">IF(K78&gt;=1,H78+I78,H78+I78*(L78-K78)/(1-K78))</f>
        <v>28896</v>
      </c>
      <c r="Q78" s="8" t="n">
        <f aca="false">INDEX(Data!$B$3:$T$21,MATCH(C78,Data!$A$3:$A$21,0),MATCH(D78,Data!$B$2:$T$2,0))</f>
        <v>28896</v>
      </c>
      <c r="R78" s="3" t="n">
        <f aca="false">IF(J78&gt;0,P78/J78,"")</f>
        <v>0.944684189878384</v>
      </c>
      <c r="S78" s="3" t="n">
        <f aca="false">IF(J78&gt;0,Q78/J78,"")</f>
        <v>0.944684189878384</v>
      </c>
      <c r="T78" s="6" t="n">
        <f aca="false">IF(J78&gt;0,R78-S78,"")</f>
        <v>0</v>
      </c>
      <c r="U78" s="1" t="s">
        <v>20</v>
      </c>
      <c r="V78" s="8" t="n">
        <f aca="false">ABS(O78)</f>
        <v>0</v>
      </c>
      <c r="W78" s="8" t="n">
        <f aca="false">O78^2</f>
        <v>0</v>
      </c>
      <c r="X78" s="12" t="n">
        <f aca="false">IF(M78&gt;0,O78^2/M78,0)</f>
        <v>0</v>
      </c>
      <c r="Y78" s="8" t="n">
        <f aca="false">IF(V78&lt;=Metrics!$C$3,0.5*O78^2,Metrics!$C$3*(V78-0.5*Metrics!$C$3))</f>
        <v>0</v>
      </c>
      <c r="Z78" s="8" t="n">
        <f aca="false">ABS(P78-Q78)</f>
        <v>0</v>
      </c>
      <c r="AA78" s="13" t="n">
        <f aca="false">IF(J78&gt;0,T78^2,0)</f>
        <v>0</v>
      </c>
    </row>
    <row r="79" customFormat="false" ht="15" hidden="false" customHeight="false" outlineLevel="0" collapsed="false">
      <c r="A79" s="11" t="s">
        <v>63</v>
      </c>
      <c r="B79" s="11" t="n">
        <v>2023</v>
      </c>
      <c r="C79" s="11" t="n">
        <v>2019</v>
      </c>
      <c r="D79" s="11" t="n">
        <v>2025</v>
      </c>
      <c r="E79" s="1" t="n">
        <f aca="false">D79-B79</f>
        <v>2</v>
      </c>
      <c r="F79" s="1" t="n">
        <f aca="false">B79-C79+1</f>
        <v>5</v>
      </c>
      <c r="G79" s="1" t="n">
        <f aca="false">D79-C79+1</f>
        <v>7</v>
      </c>
      <c r="H79" s="8" t="n">
        <f aca="false">INDEX(Data!$B$3:$T$21,MATCH(C79,Data!$A$3:$A$21,0),MATCH(B79,Data!$B$2:$T$2,0))</f>
        <v>28896</v>
      </c>
      <c r="I79" s="8" t="n">
        <f aca="false">INDEX(Data!$B$25:$T$43,MATCH(C79,Data!$A$3:$A$21,0),MATCH(B79,Data!$B$2:$T$2,0))</f>
        <v>1692</v>
      </c>
      <c r="J79" s="8" t="n">
        <f aca="false">H79+I79</f>
        <v>30588</v>
      </c>
      <c r="K79" s="3" t="n">
        <f aca="false">INDEX('pattern input'!$B$2:$AO$5,MATCH(A79&amp;"_"&amp;B79,'pattern input'!$A$2:$A$5,0),F79)</f>
        <v>0.77507109085003</v>
      </c>
      <c r="L79" s="3" t="n">
        <f aca="false">INDEX('pattern input'!$B$2:$AO$5,MATCH(A79&amp;"_"&amp;B79,'pattern input'!$A$2:$A$5,0),G79)</f>
        <v>0.806631764816554</v>
      </c>
      <c r="M79" s="8" t="n">
        <f aca="false">IF(K79&gt;=1,0,I79*(L79-INDEX('pattern input'!$B$2:$AO$5,MATCH(A79&amp;"_"&amp;B79,'pattern input'!$A$2:$A$5,0),G79-1))/(1-K79))</f>
        <v>237.41128053822</v>
      </c>
      <c r="N79" s="8" t="n">
        <f aca="false">INDEX(Data!$B$3:$T$21,MATCH(C79,Data!$A$3:$A$21,0),MATCH(D79,Data!$B$2:$T$2,0))-INDEX(Data!$B$3:$T$21,MATCH(C79,Data!$A$3:$A$21,0),MATCH(D79-1,Data!$B$2:$T$2,0))</f>
        <v>0</v>
      </c>
      <c r="O79" s="9" t="n">
        <f aca="false">M79-N79</f>
        <v>237.41128053822</v>
      </c>
      <c r="P79" s="8" t="n">
        <f aca="false">IF(K79&gt;=1,H79+I79,H79+I79*(L79-K79)/(1-K79))</f>
        <v>29133.4112805382</v>
      </c>
      <c r="Q79" s="8" t="n">
        <f aca="false">INDEX(Data!$B$3:$T$21,MATCH(C79,Data!$A$3:$A$21,0),MATCH(D79,Data!$B$2:$T$2,0))</f>
        <v>28896</v>
      </c>
      <c r="R79" s="3" t="n">
        <f aca="false">IF(J79&gt;0,P79/J79,"")</f>
        <v>0.952445772215844</v>
      </c>
      <c r="S79" s="3" t="n">
        <f aca="false">IF(J79&gt;0,Q79/J79,"")</f>
        <v>0.944684189878384</v>
      </c>
      <c r="T79" s="6" t="n">
        <f aca="false">IF(J79&gt;0,R79-S79,"")</f>
        <v>0.00776158233745983</v>
      </c>
      <c r="U79" s="1" t="s">
        <v>20</v>
      </c>
      <c r="V79" s="8" t="n">
        <f aca="false">ABS(O79)</f>
        <v>237.41128053822</v>
      </c>
      <c r="W79" s="8" t="n">
        <f aca="false">O79^2</f>
        <v>56364.1161267976</v>
      </c>
      <c r="X79" s="12" t="n">
        <f aca="false">IF(M79&gt;0,O79^2/M79,0)</f>
        <v>237.41128053822</v>
      </c>
      <c r="Y79" s="8" t="n">
        <f aca="false">IF(V79&lt;=Metrics!$C$3,0.5*O79^2,Metrics!$C$3*(V79-0.5*Metrics!$C$3))</f>
        <v>28182.0580633988</v>
      </c>
      <c r="Z79" s="8" t="n">
        <f aca="false">ABS(P79-Q79)</f>
        <v>237.411280538221</v>
      </c>
      <c r="AA79" s="13" t="n">
        <f aca="false">IF(J79&gt;0,T79^2,0)</f>
        <v>6.02421603811684E-005</v>
      </c>
    </row>
    <row r="80" customFormat="false" ht="15" hidden="false" customHeight="false" outlineLevel="0" collapsed="false">
      <c r="A80" s="11" t="s">
        <v>63</v>
      </c>
      <c r="B80" s="11" t="n">
        <v>2023</v>
      </c>
      <c r="C80" s="11" t="n">
        <v>2020</v>
      </c>
      <c r="D80" s="11" t="n">
        <v>2024</v>
      </c>
      <c r="E80" s="1" t="n">
        <f aca="false">D80-B80</f>
        <v>1</v>
      </c>
      <c r="F80" s="1" t="n">
        <f aca="false">B80-C80+1</f>
        <v>4</v>
      </c>
      <c r="G80" s="1" t="n">
        <f aca="false">D80-C80+1</f>
        <v>5</v>
      </c>
      <c r="H80" s="8" t="n">
        <f aca="false">INDEX(Data!$B$3:$T$21,MATCH(C80,Data!$A$3:$A$21,0),MATCH(B80,Data!$B$2:$T$2,0))</f>
        <v>99635</v>
      </c>
      <c r="I80" s="8" t="n">
        <f aca="false">INDEX(Data!$B$25:$T$43,MATCH(C80,Data!$A$3:$A$21,0),MATCH(B80,Data!$B$2:$T$2,0))</f>
        <v>43801</v>
      </c>
      <c r="J80" s="8" t="n">
        <f aca="false">H80+I80</f>
        <v>143436</v>
      </c>
      <c r="K80" s="3" t="n">
        <f aca="false">INDEX('pattern input'!$B$2:$AO$5,MATCH(A80&amp;"_"&amp;B80,'pattern input'!$A$2:$A$5,0),F80)</f>
        <v>0.663061548675573</v>
      </c>
      <c r="L80" s="3" t="n">
        <f aca="false">INDEX('pattern input'!$B$2:$AO$5,MATCH(A80&amp;"_"&amp;B80,'pattern input'!$A$2:$A$5,0),G80)</f>
        <v>0.77507109085003</v>
      </c>
      <c r="M80" s="8" t="n">
        <f aca="false">IF(K80&gt;=1,0,I80*(L80-INDEX('pattern input'!$B$2:$AO$5,MATCH(A80&amp;"_"&amp;B80,'pattern input'!$A$2:$A$5,0),G80-1))/(1-K80))</f>
        <v>14560.9084908491</v>
      </c>
      <c r="N80" s="8" t="n">
        <f aca="false">INDEX(Data!$B$3:$T$21,MATCH(C80,Data!$A$3:$A$21,0),MATCH(D80,Data!$B$2:$T$2,0))-INDEX(Data!$B$3:$T$21,MATCH(C80,Data!$A$3:$A$21,0),MATCH(D80-1,Data!$B$2:$T$2,0))</f>
        <v>0</v>
      </c>
      <c r="O80" s="9" t="n">
        <f aca="false">M80-N80</f>
        <v>14560.9084908491</v>
      </c>
      <c r="P80" s="8" t="n">
        <f aca="false">IF(K80&gt;=1,H80+I80,H80+I80*(L80-K80)/(1-K80))</f>
        <v>114195.908490849</v>
      </c>
      <c r="Q80" s="8" t="n">
        <f aca="false">INDEX(Data!$B$3:$T$21,MATCH(C80,Data!$A$3:$A$21,0),MATCH(D80,Data!$B$2:$T$2,0))</f>
        <v>99635</v>
      </c>
      <c r="R80" s="3" t="n">
        <f aca="false">IF(J80&gt;0,P80/J80,"")</f>
        <v>0.796145378362817</v>
      </c>
      <c r="S80" s="3" t="n">
        <f aca="false">IF(J80&gt;0,Q80/J80,"")</f>
        <v>0.694630357790234</v>
      </c>
      <c r="T80" s="6" t="n">
        <f aca="false">IF(J80&gt;0,R80-S80,"")</f>
        <v>0.101515020572583</v>
      </c>
      <c r="U80" s="1" t="s">
        <v>20</v>
      </c>
      <c r="V80" s="8" t="n">
        <f aca="false">ABS(O80)</f>
        <v>14560.9084908491</v>
      </c>
      <c r="W80" s="8" t="n">
        <f aca="false">O80^2</f>
        <v>212020056.078881</v>
      </c>
      <c r="X80" s="12" t="n">
        <f aca="false">IF(M80&gt;0,O80^2/M80,0)</f>
        <v>14560.9084908491</v>
      </c>
      <c r="Y80" s="8" t="n">
        <f aca="false">IF(V80&lt;=Metrics!$C$3,0.5*O80^2,Metrics!$C$3*(V80-0.5*Metrics!$C$3))</f>
        <v>95609084.9084908</v>
      </c>
      <c r="Z80" s="8" t="n">
        <f aca="false">ABS(P80-Q80)</f>
        <v>14560.9084908491</v>
      </c>
      <c r="AA80" s="13" t="n">
        <f aca="false">IF(J80&gt;0,T80^2,0)</f>
        <v>0.010305299401852</v>
      </c>
    </row>
    <row r="81" customFormat="false" ht="15" hidden="false" customHeight="false" outlineLevel="0" collapsed="false">
      <c r="A81" s="11" t="s">
        <v>63</v>
      </c>
      <c r="B81" s="11" t="n">
        <v>2023</v>
      </c>
      <c r="C81" s="11" t="n">
        <v>2020</v>
      </c>
      <c r="D81" s="11" t="n">
        <v>2025</v>
      </c>
      <c r="E81" s="1" t="n">
        <f aca="false">D81-B81</f>
        <v>2</v>
      </c>
      <c r="F81" s="1" t="n">
        <f aca="false">B81-C81+1</f>
        <v>4</v>
      </c>
      <c r="G81" s="1" t="n">
        <f aca="false">D81-C81+1</f>
        <v>6</v>
      </c>
      <c r="H81" s="8" t="n">
        <f aca="false">INDEX(Data!$B$3:$T$21,MATCH(C81,Data!$A$3:$A$21,0),MATCH(B81,Data!$B$2:$T$2,0))</f>
        <v>99635</v>
      </c>
      <c r="I81" s="8" t="n">
        <f aca="false">INDEX(Data!$B$25:$T$43,MATCH(C81,Data!$A$3:$A$21,0),MATCH(B81,Data!$B$2:$T$2,0))</f>
        <v>43801</v>
      </c>
      <c r="J81" s="8" t="n">
        <f aca="false">H81+I81</f>
        <v>143436</v>
      </c>
      <c r="K81" s="3" t="n">
        <f aca="false">INDEX('pattern input'!$B$2:$AO$5,MATCH(A81&amp;"_"&amp;B81,'pattern input'!$A$2:$A$5,0),F81)</f>
        <v>0.663061548675573</v>
      </c>
      <c r="L81" s="3" t="n">
        <f aca="false">INDEX('pattern input'!$B$2:$AO$5,MATCH(A81&amp;"_"&amp;B81,'pattern input'!$A$2:$A$5,0),G81)</f>
        <v>0.77507109085003</v>
      </c>
      <c r="M81" s="8" t="n">
        <f aca="false">IF(K81&gt;=1,0,I81*(L81-INDEX('pattern input'!$B$2:$AO$5,MATCH(A81&amp;"_"&amp;B81,'pattern input'!$A$2:$A$5,0),G81-1))/(1-K81))</f>
        <v>0</v>
      </c>
      <c r="N81" s="8" t="n">
        <f aca="false">INDEX(Data!$B$3:$T$21,MATCH(C81,Data!$A$3:$A$21,0),MATCH(D81,Data!$B$2:$T$2,0))-INDEX(Data!$B$3:$T$21,MATCH(C81,Data!$A$3:$A$21,0),MATCH(D81-1,Data!$B$2:$T$2,0))</f>
        <v>0</v>
      </c>
      <c r="O81" s="9" t="n">
        <f aca="false">M81-N81</f>
        <v>0</v>
      </c>
      <c r="P81" s="8" t="n">
        <f aca="false">IF(K81&gt;=1,H81+I81,H81+I81*(L81-K81)/(1-K81))</f>
        <v>114195.908490849</v>
      </c>
      <c r="Q81" s="8" t="n">
        <f aca="false">INDEX(Data!$B$3:$T$21,MATCH(C81,Data!$A$3:$A$21,0),MATCH(D81,Data!$B$2:$T$2,0))</f>
        <v>99635</v>
      </c>
      <c r="R81" s="3" t="n">
        <f aca="false">IF(J81&gt;0,P81/J81,"")</f>
        <v>0.796145378362817</v>
      </c>
      <c r="S81" s="3" t="n">
        <f aca="false">IF(J81&gt;0,Q81/J81,"")</f>
        <v>0.694630357790234</v>
      </c>
      <c r="T81" s="6" t="n">
        <f aca="false">IF(J81&gt;0,R81-S81,"")</f>
        <v>0.101515020572583</v>
      </c>
      <c r="U81" s="1" t="s">
        <v>20</v>
      </c>
      <c r="V81" s="8" t="n">
        <f aca="false">ABS(O81)</f>
        <v>0</v>
      </c>
      <c r="W81" s="8" t="n">
        <f aca="false">O81^2</f>
        <v>0</v>
      </c>
      <c r="X81" s="12" t="n">
        <f aca="false">IF(M81&gt;0,O81^2/M81,0)</f>
        <v>0</v>
      </c>
      <c r="Y81" s="8" t="n">
        <f aca="false">IF(V81&lt;=Metrics!$C$3,0.5*O81^2,Metrics!$C$3*(V81-0.5*Metrics!$C$3))</f>
        <v>0</v>
      </c>
      <c r="Z81" s="8" t="n">
        <f aca="false">ABS(P81-Q81)</f>
        <v>14560.9084908491</v>
      </c>
      <c r="AA81" s="13" t="n">
        <f aca="false">IF(J81&gt;0,T81^2,0)</f>
        <v>0.010305299401852</v>
      </c>
    </row>
    <row r="82" customFormat="false" ht="15" hidden="false" customHeight="false" outlineLevel="0" collapsed="false">
      <c r="A82" s="11" t="s">
        <v>63</v>
      </c>
      <c r="B82" s="11" t="n">
        <v>2023</v>
      </c>
      <c r="C82" s="11" t="n">
        <v>2021</v>
      </c>
      <c r="D82" s="11" t="n">
        <v>2024</v>
      </c>
      <c r="E82" s="1" t="n">
        <f aca="false">D82-B82</f>
        <v>1</v>
      </c>
      <c r="F82" s="1" t="n">
        <f aca="false">B82-C82+1</f>
        <v>3</v>
      </c>
      <c r="G82" s="1" t="n">
        <f aca="false">D82-C82+1</f>
        <v>4</v>
      </c>
      <c r="H82" s="8" t="n">
        <f aca="false">INDEX(Data!$B$3:$T$21,MATCH(C82,Data!$A$3:$A$21,0),MATCH(B82,Data!$B$2:$T$2,0))</f>
        <v>115040</v>
      </c>
      <c r="I82" s="8" t="n">
        <f aca="false">INDEX(Data!$B$25:$T$43,MATCH(C82,Data!$A$3:$A$21,0),MATCH(B82,Data!$B$2:$T$2,0))</f>
        <v>88605</v>
      </c>
      <c r="J82" s="8" t="n">
        <f aca="false">H82+I82</f>
        <v>203645</v>
      </c>
      <c r="K82" s="3" t="n">
        <f aca="false">INDEX('pattern input'!$B$2:$AO$5,MATCH(A82&amp;"_"&amp;B82,'pattern input'!$A$2:$A$5,0),F82)</f>
        <v>0.556220040730497</v>
      </c>
      <c r="L82" s="3" t="n">
        <f aca="false">INDEX('pattern input'!$B$2:$AO$5,MATCH(A82&amp;"_"&amp;B82,'pattern input'!$A$2:$A$5,0),G82)</f>
        <v>0.663061548675573</v>
      </c>
      <c r="M82" s="8" t="n">
        <f aca="false">IF(K82&gt;=1,0,I82*(L82-INDEX('pattern input'!$B$2:$AO$5,MATCH(A82&amp;"_"&amp;B82,'pattern input'!$A$2:$A$5,0),G82-1))/(1-K82))</f>
        <v>21331.9497956969</v>
      </c>
      <c r="N82" s="8" t="n">
        <f aca="false">INDEX(Data!$B$3:$T$21,MATCH(C82,Data!$A$3:$A$21,0),MATCH(D82,Data!$B$2:$T$2,0))-INDEX(Data!$B$3:$T$21,MATCH(C82,Data!$A$3:$A$21,0),MATCH(D82-1,Data!$B$2:$T$2,0))</f>
        <v>0</v>
      </c>
      <c r="O82" s="9" t="n">
        <f aca="false">M82-N82</f>
        <v>21331.9497956969</v>
      </c>
      <c r="P82" s="8" t="n">
        <f aca="false">IF(K82&gt;=1,H82+I82,H82+I82*(L82-K82)/(1-K82))</f>
        <v>136371.949795697</v>
      </c>
      <c r="Q82" s="8" t="n">
        <f aca="false">INDEX(Data!$B$3:$T$21,MATCH(C82,Data!$A$3:$A$21,0),MATCH(D82,Data!$B$2:$T$2,0))</f>
        <v>115040</v>
      </c>
      <c r="R82" s="3" t="n">
        <f aca="false">IF(J82&gt;0,P82/J82,"")</f>
        <v>0.669655281473628</v>
      </c>
      <c r="S82" s="3" t="n">
        <f aca="false">IF(J82&gt;0,Q82/J82,"")</f>
        <v>0.564904613420413</v>
      </c>
      <c r="T82" s="6" t="n">
        <f aca="false">IF(J82&gt;0,R82-S82,"")</f>
        <v>0.104750668053215</v>
      </c>
      <c r="U82" s="1" t="s">
        <v>20</v>
      </c>
      <c r="V82" s="8" t="n">
        <f aca="false">ABS(O82)</f>
        <v>21331.9497956969</v>
      </c>
      <c r="W82" s="8" t="n">
        <f aca="false">O82^2</f>
        <v>455052082.086132</v>
      </c>
      <c r="X82" s="12" t="n">
        <f aca="false">IF(M82&gt;0,O82^2/M82,0)</f>
        <v>21331.9497956969</v>
      </c>
      <c r="Y82" s="8" t="n">
        <f aca="false">IF(V82&lt;=Metrics!$C$3,0.5*O82^2,Metrics!$C$3*(V82-0.5*Metrics!$C$3))</f>
        <v>163319497.956969</v>
      </c>
      <c r="Z82" s="8" t="n">
        <f aca="false">ABS(P82-Q82)</f>
        <v>21331.9497956969</v>
      </c>
      <c r="AA82" s="13" t="n">
        <f aca="false">IF(J82&gt;0,T82^2,0)</f>
        <v>0.0109727024575947</v>
      </c>
    </row>
    <row r="83" customFormat="false" ht="15" hidden="false" customHeight="false" outlineLevel="0" collapsed="false">
      <c r="A83" s="11" t="s">
        <v>63</v>
      </c>
      <c r="B83" s="11" t="n">
        <v>2023</v>
      </c>
      <c r="C83" s="11" t="n">
        <v>2021</v>
      </c>
      <c r="D83" s="11" t="n">
        <v>2025</v>
      </c>
      <c r="E83" s="1" t="n">
        <f aca="false">D83-B83</f>
        <v>2</v>
      </c>
      <c r="F83" s="1" t="n">
        <f aca="false">B83-C83+1</f>
        <v>3</v>
      </c>
      <c r="G83" s="1" t="n">
        <f aca="false">D83-C83+1</f>
        <v>5</v>
      </c>
      <c r="H83" s="8" t="n">
        <f aca="false">INDEX(Data!$B$3:$T$21,MATCH(C83,Data!$A$3:$A$21,0),MATCH(B83,Data!$B$2:$T$2,0))</f>
        <v>115040</v>
      </c>
      <c r="I83" s="8" t="n">
        <f aca="false">INDEX(Data!$B$25:$T$43,MATCH(C83,Data!$A$3:$A$21,0),MATCH(B83,Data!$B$2:$T$2,0))</f>
        <v>88605</v>
      </c>
      <c r="J83" s="8" t="n">
        <f aca="false">H83+I83</f>
        <v>203645</v>
      </c>
      <c r="K83" s="3" t="n">
        <f aca="false">INDEX('pattern input'!$B$2:$AO$5,MATCH(A83&amp;"_"&amp;B83,'pattern input'!$A$2:$A$5,0),F83)</f>
        <v>0.556220040730497</v>
      </c>
      <c r="L83" s="3" t="n">
        <f aca="false">INDEX('pattern input'!$B$2:$AO$5,MATCH(A83&amp;"_"&amp;B83,'pattern input'!$A$2:$A$5,0),G83)</f>
        <v>0.77507109085003</v>
      </c>
      <c r="M83" s="8" t="n">
        <f aca="false">IF(K83&gt;=1,0,I83*(L83-INDEX('pattern input'!$B$2:$AO$5,MATCH(A83&amp;"_"&amp;B83,'pattern input'!$A$2:$A$5,0),G83-1))/(1-K83))</f>
        <v>22363.7982677371</v>
      </c>
      <c r="N83" s="8" t="n">
        <f aca="false">INDEX(Data!$B$3:$T$21,MATCH(C83,Data!$A$3:$A$21,0),MATCH(D83,Data!$B$2:$T$2,0))-INDEX(Data!$B$3:$T$21,MATCH(C83,Data!$A$3:$A$21,0),MATCH(D83-1,Data!$B$2:$T$2,0))</f>
        <v>0</v>
      </c>
      <c r="O83" s="9" t="n">
        <f aca="false">M83-N83</f>
        <v>22363.7982677371</v>
      </c>
      <c r="P83" s="8" t="n">
        <f aca="false">IF(K83&gt;=1,H83+I83,H83+I83*(L83-K83)/(1-K83))</f>
        <v>158735.748063434</v>
      </c>
      <c r="Q83" s="8" t="n">
        <f aca="false">INDEX(Data!$B$3:$T$21,MATCH(C83,Data!$A$3:$A$21,0),MATCH(D83,Data!$B$2:$T$2,0))</f>
        <v>115040</v>
      </c>
      <c r="R83" s="3" t="n">
        <f aca="false">IF(J83&gt;0,P83/J83,"")</f>
        <v>0.779472847668413</v>
      </c>
      <c r="S83" s="3" t="n">
        <f aca="false">IF(J83&gt;0,Q83/J83,"")</f>
        <v>0.564904613420413</v>
      </c>
      <c r="T83" s="6" t="n">
        <f aca="false">IF(J83&gt;0,R83-S83,"")</f>
        <v>0.214568234248</v>
      </c>
      <c r="U83" s="1" t="s">
        <v>20</v>
      </c>
      <c r="V83" s="8" t="n">
        <f aca="false">ABS(O83)</f>
        <v>22363.7982677371</v>
      </c>
      <c r="W83" s="8" t="n">
        <f aca="false">O83^2</f>
        <v>500139472.960042</v>
      </c>
      <c r="X83" s="12" t="n">
        <f aca="false">IF(M83&gt;0,O83^2/M83,0)</f>
        <v>22363.7982677371</v>
      </c>
      <c r="Y83" s="8" t="n">
        <f aca="false">IF(V83&lt;=Metrics!$C$3,0.5*O83^2,Metrics!$C$3*(V83-0.5*Metrics!$C$3))</f>
        <v>173637982.677371</v>
      </c>
      <c r="Z83" s="8" t="n">
        <f aca="false">ABS(P83-Q83)</f>
        <v>43695.748063434</v>
      </c>
      <c r="AA83" s="13" t="n">
        <f aca="false">IF(J83&gt;0,T83^2,0)</f>
        <v>0.0460395271483047</v>
      </c>
    </row>
    <row r="84" customFormat="false" ht="15" hidden="false" customHeight="false" outlineLevel="0" collapsed="false">
      <c r="A84" s="11" t="s">
        <v>63</v>
      </c>
      <c r="B84" s="11" t="n">
        <v>2023</v>
      </c>
      <c r="C84" s="11" t="n">
        <v>2022</v>
      </c>
      <c r="D84" s="11" t="n">
        <v>2024</v>
      </c>
      <c r="E84" s="1" t="n">
        <f aca="false">D84-B84</f>
        <v>1</v>
      </c>
      <c r="F84" s="1" t="n">
        <f aca="false">B84-C84+1</f>
        <v>2</v>
      </c>
      <c r="G84" s="1" t="n">
        <f aca="false">D84-C84+1</f>
        <v>3</v>
      </c>
      <c r="H84" s="8" t="n">
        <f aca="false">INDEX(Data!$B$3:$T$21,MATCH(C84,Data!$A$3:$A$21,0),MATCH(B84,Data!$B$2:$T$2,0))</f>
        <v>8113</v>
      </c>
      <c r="I84" s="8" t="n">
        <f aca="false">INDEX(Data!$B$25:$T$43,MATCH(C84,Data!$A$3:$A$21,0),MATCH(B84,Data!$B$2:$T$2,0))</f>
        <v>76294</v>
      </c>
      <c r="J84" s="8" t="n">
        <f aca="false">H84+I84</f>
        <v>84407</v>
      </c>
      <c r="K84" s="3" t="n">
        <f aca="false">INDEX('pattern input'!$B$2:$AO$5,MATCH(A84&amp;"_"&amp;B84,'pattern input'!$A$2:$A$5,0),F84)</f>
        <v>0.368846402342276</v>
      </c>
      <c r="L84" s="3" t="n">
        <f aca="false">INDEX('pattern input'!$B$2:$AO$5,MATCH(A84&amp;"_"&amp;B84,'pattern input'!$A$2:$A$5,0),G84)</f>
        <v>0.556220040730497</v>
      </c>
      <c r="M84" s="8" t="n">
        <f aca="false">IF(K84&gt;=1,0,I84*(L84-INDEX('pattern input'!$B$2:$AO$5,MATCH(A84&amp;"_"&amp;B84,'pattern input'!$A$2:$A$5,0),G84-1))/(1-K84))</f>
        <v>22649.7708644028</v>
      </c>
      <c r="N84" s="8" t="n">
        <f aca="false">INDEX(Data!$B$3:$T$21,MATCH(C84,Data!$A$3:$A$21,0),MATCH(D84,Data!$B$2:$T$2,0))-INDEX(Data!$B$3:$T$21,MATCH(C84,Data!$A$3:$A$21,0),MATCH(D84-1,Data!$B$2:$T$2,0))</f>
        <v>2507</v>
      </c>
      <c r="O84" s="9" t="n">
        <f aca="false">M84-N84</f>
        <v>20142.7708644028</v>
      </c>
      <c r="P84" s="8" t="n">
        <f aca="false">IF(K84&gt;=1,H84+I84,H84+I84*(L84-K84)/(1-K84))</f>
        <v>30762.7708644028</v>
      </c>
      <c r="Q84" s="8" t="n">
        <f aca="false">INDEX(Data!$B$3:$T$21,MATCH(C84,Data!$A$3:$A$21,0),MATCH(D84,Data!$B$2:$T$2,0))</f>
        <v>10620</v>
      </c>
      <c r="R84" s="3" t="n">
        <f aca="false">IF(J84&gt;0,P84/J84,"")</f>
        <v>0.364457578925952</v>
      </c>
      <c r="S84" s="3" t="n">
        <f aca="false">IF(J84&gt;0,Q84/J84,"")</f>
        <v>0.125818948665395</v>
      </c>
      <c r="T84" s="6" t="n">
        <f aca="false">IF(J84&gt;0,R84-S84,"")</f>
        <v>0.238638630260557</v>
      </c>
      <c r="U84" s="1" t="s">
        <v>20</v>
      </c>
      <c r="V84" s="8" t="n">
        <f aca="false">ABS(O84)</f>
        <v>20142.7708644028</v>
      </c>
      <c r="W84" s="8" t="n">
        <f aca="false">O84^2</f>
        <v>405731218.095835</v>
      </c>
      <c r="X84" s="12" t="n">
        <f aca="false">IF(M84&gt;0,O84^2/M84,0)</f>
        <v>17913.2592786401</v>
      </c>
      <c r="Y84" s="8" t="n">
        <f aca="false">IF(V84&lt;=Metrics!$C$3,0.5*O84^2,Metrics!$C$3*(V84-0.5*Metrics!$C$3))</f>
        <v>151427708.644028</v>
      </c>
      <c r="Z84" s="8" t="n">
        <f aca="false">ABS(P84-Q84)</f>
        <v>20142.7708644028</v>
      </c>
      <c r="AA84" s="13" t="n">
        <f aca="false">IF(J84&gt;0,T84^2,0)</f>
        <v>0.0569483958526348</v>
      </c>
    </row>
    <row r="85" customFormat="false" ht="15" hidden="false" customHeight="false" outlineLevel="0" collapsed="false">
      <c r="A85" s="11" t="s">
        <v>63</v>
      </c>
      <c r="B85" s="11" t="n">
        <v>2023</v>
      </c>
      <c r="C85" s="11" t="n">
        <v>2022</v>
      </c>
      <c r="D85" s="11" t="n">
        <v>2025</v>
      </c>
      <c r="E85" s="1" t="n">
        <f aca="false">D85-B85</f>
        <v>2</v>
      </c>
      <c r="F85" s="1" t="n">
        <f aca="false">B85-C85+1</f>
        <v>2</v>
      </c>
      <c r="G85" s="1" t="n">
        <f aca="false">D85-C85+1</f>
        <v>4</v>
      </c>
      <c r="H85" s="8" t="n">
        <f aca="false">INDEX(Data!$B$3:$T$21,MATCH(C85,Data!$A$3:$A$21,0),MATCH(B85,Data!$B$2:$T$2,0))</f>
        <v>8113</v>
      </c>
      <c r="I85" s="8" t="n">
        <f aca="false">INDEX(Data!$B$25:$T$43,MATCH(C85,Data!$A$3:$A$21,0),MATCH(B85,Data!$B$2:$T$2,0))</f>
        <v>76294</v>
      </c>
      <c r="J85" s="8" t="n">
        <f aca="false">H85+I85</f>
        <v>84407</v>
      </c>
      <c r="K85" s="3" t="n">
        <f aca="false">INDEX('pattern input'!$B$2:$AO$5,MATCH(A85&amp;"_"&amp;B85,'pattern input'!$A$2:$A$5,0),F85)</f>
        <v>0.368846402342276</v>
      </c>
      <c r="L85" s="3" t="n">
        <f aca="false">INDEX('pattern input'!$B$2:$AO$5,MATCH(A85&amp;"_"&amp;B85,'pattern input'!$A$2:$A$5,0),G85)</f>
        <v>0.663061548675573</v>
      </c>
      <c r="M85" s="8" t="n">
        <f aca="false">IF(K85&gt;=1,0,I85*(L85-INDEX('pattern input'!$B$2:$AO$5,MATCH(A85&amp;"_"&amp;B85,'pattern input'!$A$2:$A$5,0),G85-1))/(1-K85))</f>
        <v>12915.0273996887</v>
      </c>
      <c r="N85" s="8" t="n">
        <f aca="false">INDEX(Data!$B$3:$T$21,MATCH(C85,Data!$A$3:$A$21,0),MATCH(D85,Data!$B$2:$T$2,0))-INDEX(Data!$B$3:$T$21,MATCH(C85,Data!$A$3:$A$21,0),MATCH(D85-1,Data!$B$2:$T$2,0))</f>
        <v>0</v>
      </c>
      <c r="O85" s="9" t="n">
        <f aca="false">M85-N85</f>
        <v>12915.0273996887</v>
      </c>
      <c r="P85" s="8" t="n">
        <f aca="false">IF(K85&gt;=1,H85+I85,H85+I85*(L85-K85)/(1-K85))</f>
        <v>43677.7982640916</v>
      </c>
      <c r="Q85" s="8" t="n">
        <f aca="false">INDEX(Data!$B$3:$T$21,MATCH(C85,Data!$A$3:$A$21,0),MATCH(D85,Data!$B$2:$T$2,0))</f>
        <v>10620</v>
      </c>
      <c r="R85" s="3" t="n">
        <f aca="false">IF(J85&gt;0,P85/J85,"")</f>
        <v>0.517466540264333</v>
      </c>
      <c r="S85" s="3" t="n">
        <f aca="false">IF(J85&gt;0,Q85/J85,"")</f>
        <v>0.125818948665395</v>
      </c>
      <c r="T85" s="6" t="n">
        <f aca="false">IF(J85&gt;0,R85-S85,"")</f>
        <v>0.391647591598938</v>
      </c>
      <c r="U85" s="1" t="s">
        <v>20</v>
      </c>
      <c r="V85" s="8" t="n">
        <f aca="false">ABS(O85)</f>
        <v>12915.0273996887</v>
      </c>
      <c r="W85" s="8" t="n">
        <f aca="false">O85^2</f>
        <v>166797932.73471</v>
      </c>
      <c r="X85" s="12" t="n">
        <f aca="false">IF(M85&gt;0,O85^2/M85,0)</f>
        <v>12915.0273996887</v>
      </c>
      <c r="Y85" s="8" t="n">
        <f aca="false">IF(V85&lt;=Metrics!$C$3,0.5*O85^2,Metrics!$C$3*(V85-0.5*Metrics!$C$3))</f>
        <v>79150273.9968872</v>
      </c>
      <c r="Z85" s="8" t="n">
        <f aca="false">ABS(P85-Q85)</f>
        <v>33057.7982640916</v>
      </c>
      <c r="AA85" s="13" t="n">
        <f aca="false">IF(J85&gt;0,T85^2,0)</f>
        <v>0.153387836005248</v>
      </c>
    </row>
    <row r="86" customFormat="false" ht="15" hidden="false" customHeight="false" outlineLevel="0" collapsed="false">
      <c r="A86" s="11" t="s">
        <v>63</v>
      </c>
      <c r="B86" s="11" t="n">
        <v>2023</v>
      </c>
      <c r="C86" s="11" t="n">
        <v>2023</v>
      </c>
      <c r="D86" s="11" t="n">
        <v>2024</v>
      </c>
      <c r="E86" s="1" t="n">
        <f aca="false">D86-B86</f>
        <v>1</v>
      </c>
      <c r="F86" s="1" t="n">
        <f aca="false">B86-C86+1</f>
        <v>1</v>
      </c>
      <c r="G86" s="1" t="n">
        <f aca="false">D86-C86+1</f>
        <v>2</v>
      </c>
      <c r="H86" s="8" t="n">
        <f aca="false">INDEX(Data!$B$3:$T$21,MATCH(C86,Data!$A$3:$A$21,0),MATCH(B86,Data!$B$2:$T$2,0))</f>
        <v>372</v>
      </c>
      <c r="I86" s="8" t="n">
        <f aca="false">INDEX(Data!$B$25:$T$43,MATCH(C86,Data!$A$3:$A$21,0),MATCH(B86,Data!$B$2:$T$2,0))</f>
        <v>156476</v>
      </c>
      <c r="J86" s="8" t="n">
        <f aca="false">H86+I86</f>
        <v>156848</v>
      </c>
      <c r="K86" s="3" t="n">
        <f aca="false">INDEX('pattern input'!$B$2:$AO$5,MATCH(A86&amp;"_"&amp;B86,'pattern input'!$A$2:$A$5,0),F86)</f>
        <v>0.1</v>
      </c>
      <c r="L86" s="3" t="n">
        <f aca="false">INDEX('pattern input'!$B$2:$AO$5,MATCH(A86&amp;"_"&amp;B86,'pattern input'!$A$2:$A$5,0),G86)</f>
        <v>0.368846402342276</v>
      </c>
      <c r="M86" s="8" t="n">
        <f aca="false">IF(K86&gt;=1,0,I86*(L86-INDEX('pattern input'!$B$2:$AO$5,MATCH(A86&amp;"_"&amp;B86,'pattern input'!$A$2:$A$5,0),G86-1))/(1-K86))</f>
        <v>46742.2329476777</v>
      </c>
      <c r="N86" s="8" t="n">
        <f aca="false">INDEX(Data!$B$3:$T$21,MATCH(C86,Data!$A$3:$A$21,0),MATCH(D86,Data!$B$2:$T$2,0))-INDEX(Data!$B$3:$T$21,MATCH(C86,Data!$A$3:$A$21,0),MATCH(D86-1,Data!$B$2:$T$2,0))</f>
        <v>39901</v>
      </c>
      <c r="O86" s="9" t="n">
        <f aca="false">M86-N86</f>
        <v>6841.23294767771</v>
      </c>
      <c r="P86" s="8" t="n">
        <f aca="false">IF(K86&gt;=1,H86+I86,H86+I86*(L86-K86)/(1-K86))</f>
        <v>47114.2329476777</v>
      </c>
      <c r="Q86" s="8" t="n">
        <f aca="false">INDEX(Data!$B$3:$T$21,MATCH(C86,Data!$A$3:$A$21,0),MATCH(D86,Data!$B$2:$T$2,0))</f>
        <v>40273</v>
      </c>
      <c r="R86" s="3" t="n">
        <f aca="false">IF(J86&gt;0,P86/J86,"")</f>
        <v>0.30038147089971</v>
      </c>
      <c r="S86" s="3" t="n">
        <f aca="false">IF(J86&gt;0,Q86/J86,"")</f>
        <v>0.256764510864021</v>
      </c>
      <c r="T86" s="6" t="n">
        <f aca="false">IF(J86&gt;0,R86-S86,"")</f>
        <v>0.0436169600356887</v>
      </c>
      <c r="U86" s="1" t="s">
        <v>20</v>
      </c>
      <c r="V86" s="8" t="n">
        <f aca="false">ABS(O86)</f>
        <v>6841.23294767771</v>
      </c>
      <c r="W86" s="8" t="n">
        <f aca="false">O86^2</f>
        <v>46802468.244391</v>
      </c>
      <c r="X86" s="12" t="n">
        <f aca="false">IF(M86&gt;0,O86^2/M86,0)</f>
        <v>1001.28866964445</v>
      </c>
      <c r="Y86" s="8" t="n">
        <f aca="false">IF(V86&lt;=Metrics!$C$3,0.5*O86^2,Metrics!$C$3*(V86-0.5*Metrics!$C$3))</f>
        <v>23401234.1221955</v>
      </c>
      <c r="Z86" s="8" t="n">
        <f aca="false">ABS(P86-Q86)</f>
        <v>6841.23294767771</v>
      </c>
      <c r="AA86" s="13" t="n">
        <f aca="false">IF(J86&gt;0,T86^2,0)</f>
        <v>0.00190243920275487</v>
      </c>
    </row>
    <row r="87" customFormat="false" ht="15" hidden="false" customHeight="false" outlineLevel="0" collapsed="false">
      <c r="A87" s="11" t="s">
        <v>63</v>
      </c>
      <c r="B87" s="11" t="n">
        <v>2023</v>
      </c>
      <c r="C87" s="11" t="n">
        <v>2023</v>
      </c>
      <c r="D87" s="11" t="n">
        <v>2025</v>
      </c>
      <c r="E87" s="1" t="n">
        <f aca="false">D87-B87</f>
        <v>2</v>
      </c>
      <c r="F87" s="1" t="n">
        <f aca="false">B87-C87+1</f>
        <v>1</v>
      </c>
      <c r="G87" s="1" t="n">
        <f aca="false">D87-C87+1</f>
        <v>3</v>
      </c>
      <c r="H87" s="8" t="n">
        <f aca="false">INDEX(Data!$B$3:$T$21,MATCH(C87,Data!$A$3:$A$21,0),MATCH(B87,Data!$B$2:$T$2,0))</f>
        <v>372</v>
      </c>
      <c r="I87" s="8" t="n">
        <f aca="false">INDEX(Data!$B$25:$T$43,MATCH(C87,Data!$A$3:$A$21,0),MATCH(B87,Data!$B$2:$T$2,0))</f>
        <v>156476</v>
      </c>
      <c r="J87" s="8" t="n">
        <f aca="false">H87+I87</f>
        <v>156848</v>
      </c>
      <c r="K87" s="3" t="n">
        <f aca="false">INDEX('pattern input'!$B$2:$AO$5,MATCH(A87&amp;"_"&amp;B87,'pattern input'!$A$2:$A$5,0),F87)</f>
        <v>0.1</v>
      </c>
      <c r="L87" s="3" t="n">
        <f aca="false">INDEX('pattern input'!$B$2:$AO$5,MATCH(A87&amp;"_"&amp;B87,'pattern input'!$A$2:$A$5,0),G87)</f>
        <v>0.556220040730497</v>
      </c>
      <c r="M87" s="8" t="n">
        <f aca="false">IF(K87&gt;=1,0,I87*(L87-INDEX('pattern input'!$B$2:$AO$5,MATCH(A87&amp;"_"&amp;B87,'pattern input'!$A$2:$A$5,0),G87-1))/(1-K87))</f>
        <v>32577.1971560392</v>
      </c>
      <c r="N87" s="8" t="n">
        <f aca="false">INDEX(Data!$B$3:$T$21,MATCH(C87,Data!$A$3:$A$21,0),MATCH(D87,Data!$B$2:$T$2,0))-INDEX(Data!$B$3:$T$21,MATCH(C87,Data!$A$3:$A$21,0),MATCH(D87-1,Data!$B$2:$T$2,0))</f>
        <v>0</v>
      </c>
      <c r="O87" s="9" t="n">
        <f aca="false">M87-N87</f>
        <v>32577.1971560392</v>
      </c>
      <c r="P87" s="8" t="n">
        <f aca="false">IF(K87&gt;=1,H87+I87,H87+I87*(L87-K87)/(1-K87))</f>
        <v>79691.4301037169</v>
      </c>
      <c r="Q87" s="8" t="n">
        <f aca="false">INDEX(Data!$B$3:$T$21,MATCH(C87,Data!$A$3:$A$21,0),MATCH(D87,Data!$B$2:$T$2,0))</f>
        <v>40273</v>
      </c>
      <c r="R87" s="3" t="n">
        <f aca="false">IF(J87&gt;0,P87/J87,"")</f>
        <v>0.508080626490086</v>
      </c>
      <c r="S87" s="3" t="n">
        <f aca="false">IF(J87&gt;0,Q87/J87,"")</f>
        <v>0.256764510864021</v>
      </c>
      <c r="T87" s="6" t="n">
        <f aca="false">IF(J87&gt;0,R87-S87,"")</f>
        <v>0.251316115626064</v>
      </c>
      <c r="U87" s="1" t="s">
        <v>20</v>
      </c>
      <c r="V87" s="8" t="n">
        <f aca="false">ABS(O87)</f>
        <v>32577.1971560392</v>
      </c>
      <c r="W87" s="8" t="n">
        <f aca="false">O87^2</f>
        <v>1061273774.54345</v>
      </c>
      <c r="X87" s="12" t="n">
        <f aca="false">IF(M87&gt;0,O87^2/M87,0)</f>
        <v>32577.1971560392</v>
      </c>
      <c r="Y87" s="8" t="n">
        <f aca="false">IF(V87&lt;=Metrics!$C$3,0.5*O87^2,Metrics!$C$3*(V87-0.5*Metrics!$C$3))</f>
        <v>275771971.560392</v>
      </c>
      <c r="Z87" s="8" t="n">
        <f aca="false">ABS(P87-Q87)</f>
        <v>39418.4301037169</v>
      </c>
      <c r="AA87" s="13" t="n">
        <f aca="false">IF(J87&gt;0,T87^2,0)</f>
        <v>0.0631597899733733</v>
      </c>
    </row>
    <row r="88" customFormat="false" ht="15" hidden="false" customHeight="false" outlineLevel="0" collapsed="false">
      <c r="A88" s="11" t="s">
        <v>63</v>
      </c>
      <c r="B88" s="11" t="n">
        <v>2024</v>
      </c>
      <c r="C88" s="11" t="n">
        <v>2007</v>
      </c>
      <c r="D88" s="11" t="n">
        <v>2025</v>
      </c>
      <c r="E88" s="1" t="n">
        <f aca="false">D88-B88</f>
        <v>1</v>
      </c>
      <c r="F88" s="1" t="n">
        <f aca="false">B88-C88+1</f>
        <v>18</v>
      </c>
      <c r="G88" s="1" t="n">
        <f aca="false">D88-C88+1</f>
        <v>19</v>
      </c>
      <c r="H88" s="8" t="n">
        <f aca="false">INDEX(Data!$B$3:$T$21,MATCH(C88,Data!$A$3:$A$21,0),MATCH(B88,Data!$B$2:$T$2,0))</f>
        <v>1382</v>
      </c>
      <c r="I88" s="8" t="n">
        <f aca="false">INDEX(Data!$B$25:$T$43,MATCH(C88,Data!$A$3:$A$21,0),MATCH(B88,Data!$B$2:$T$2,0))</f>
        <v>0</v>
      </c>
      <c r="J88" s="8" t="n">
        <f aca="false">H88+I88</f>
        <v>1382</v>
      </c>
      <c r="K88" s="3" t="n">
        <f aca="false">INDEX('pattern input'!$B$2:$AO$5,MATCH(A88&amp;"_"&amp;B88,'pattern input'!$A$2:$A$5,0),F88)</f>
        <v>0.983607727996226</v>
      </c>
      <c r="L88" s="3" t="n">
        <f aca="false">INDEX('pattern input'!$B$2:$AO$5,MATCH(A88&amp;"_"&amp;B88,'pattern input'!$A$2:$A$5,0),G88)</f>
        <v>1</v>
      </c>
      <c r="M88" s="8" t="n">
        <f aca="false">IF(K88&gt;=1,0,I88*(L88-INDEX('pattern input'!$B$2:$AO$5,MATCH(A88&amp;"_"&amp;B88,'pattern input'!$A$2:$A$5,0),G88-1))/(1-K88))</f>
        <v>0</v>
      </c>
      <c r="N88" s="8" t="n">
        <f aca="false">INDEX(Data!$B$3:$T$21,MATCH(C88,Data!$A$3:$A$21,0),MATCH(D88,Data!$B$2:$T$2,0))-INDEX(Data!$B$3:$T$21,MATCH(C88,Data!$A$3:$A$21,0),MATCH(D88-1,Data!$B$2:$T$2,0))</f>
        <v>0</v>
      </c>
      <c r="O88" s="9" t="n">
        <f aca="false">M88-N88</f>
        <v>0</v>
      </c>
      <c r="P88" s="8" t="n">
        <f aca="false">IF(K88&gt;=1,H88+I88,H88+I88*(L88-K88)/(1-K88))</f>
        <v>1382</v>
      </c>
      <c r="Q88" s="8" t="n">
        <f aca="false">INDEX(Data!$B$3:$T$21,MATCH(C88,Data!$A$3:$A$21,0),MATCH(D88,Data!$B$2:$T$2,0))</f>
        <v>1382</v>
      </c>
      <c r="R88" s="3" t="n">
        <f aca="false">IF(J88&gt;0,P88/J88,"")</f>
        <v>1</v>
      </c>
      <c r="S88" s="3" t="n">
        <f aca="false">IF(J88&gt;0,Q88/J88,"")</f>
        <v>1</v>
      </c>
      <c r="T88" s="6" t="n">
        <f aca="false">IF(J88&gt;0,R88-S88,"")</f>
        <v>0</v>
      </c>
      <c r="U88" s="1" t="s">
        <v>20</v>
      </c>
      <c r="V88" s="8" t="n">
        <f aca="false">ABS(O88)</f>
        <v>0</v>
      </c>
      <c r="W88" s="8" t="n">
        <f aca="false">O88^2</f>
        <v>0</v>
      </c>
      <c r="X88" s="12" t="n">
        <f aca="false">IF(M88&gt;0,O88^2/M88,0)</f>
        <v>0</v>
      </c>
      <c r="Y88" s="8" t="n">
        <f aca="false">IF(V88&lt;=Metrics!$C$3,0.5*O88^2,Metrics!$C$3*(V88-0.5*Metrics!$C$3))</f>
        <v>0</v>
      </c>
      <c r="Z88" s="8" t="n">
        <f aca="false">ABS(P88-Q88)</f>
        <v>0</v>
      </c>
      <c r="AA88" s="13" t="n">
        <f aca="false">IF(J88&gt;0,T88^2,0)</f>
        <v>0</v>
      </c>
    </row>
    <row r="89" customFormat="false" ht="15" hidden="false" customHeight="false" outlineLevel="0" collapsed="false">
      <c r="A89" s="11" t="s">
        <v>63</v>
      </c>
      <c r="B89" s="11" t="n">
        <v>2024</v>
      </c>
      <c r="C89" s="11" t="n">
        <v>2008</v>
      </c>
      <c r="D89" s="11" t="n">
        <v>2025</v>
      </c>
      <c r="E89" s="1" t="n">
        <f aca="false">D89-B89</f>
        <v>1</v>
      </c>
      <c r="F89" s="1" t="n">
        <f aca="false">B89-C89+1</f>
        <v>17</v>
      </c>
      <c r="G89" s="1" t="n">
        <f aca="false">D89-C89+1</f>
        <v>18</v>
      </c>
      <c r="H89" s="8" t="n">
        <f aca="false">INDEX(Data!$B$3:$T$21,MATCH(C89,Data!$A$3:$A$21,0),MATCH(B89,Data!$B$2:$T$2,0))</f>
        <v>9472</v>
      </c>
      <c r="I89" s="8" t="n">
        <f aca="false">INDEX(Data!$B$25:$T$43,MATCH(C89,Data!$A$3:$A$21,0),MATCH(B89,Data!$B$2:$T$2,0))</f>
        <v>3</v>
      </c>
      <c r="J89" s="8" t="n">
        <f aca="false">H89+I89</f>
        <v>9475</v>
      </c>
      <c r="K89" s="3" t="n">
        <f aca="false">INDEX('pattern input'!$B$2:$AO$5,MATCH(A89&amp;"_"&amp;B89,'pattern input'!$A$2:$A$5,0),F89)</f>
        <v>0.966278258403458</v>
      </c>
      <c r="L89" s="3" t="n">
        <f aca="false">INDEX('pattern input'!$B$2:$AO$5,MATCH(A89&amp;"_"&amp;B89,'pattern input'!$A$2:$A$5,0),G89)</f>
        <v>0.983607727996226</v>
      </c>
      <c r="M89" s="8" t="n">
        <f aca="false">IF(K89&gt;=1,0,I89*(L89-INDEX('pattern input'!$B$2:$AO$5,MATCH(A89&amp;"_"&amp;B89,'pattern input'!$A$2:$A$5,0),G89-1))/(1-K89))</f>
        <v>1.54168813106721</v>
      </c>
      <c r="N89" s="8" t="n">
        <f aca="false">INDEX(Data!$B$3:$T$21,MATCH(C89,Data!$A$3:$A$21,0),MATCH(D89,Data!$B$2:$T$2,0))-INDEX(Data!$B$3:$T$21,MATCH(C89,Data!$A$3:$A$21,0),MATCH(D89-1,Data!$B$2:$T$2,0))</f>
        <v>0</v>
      </c>
      <c r="O89" s="9" t="n">
        <f aca="false">M89-N89</f>
        <v>1.54168813106721</v>
      </c>
      <c r="P89" s="8" t="n">
        <f aca="false">IF(K89&gt;=1,H89+I89,H89+I89*(L89-K89)/(1-K89))</f>
        <v>9473.54168813107</v>
      </c>
      <c r="Q89" s="8" t="n">
        <f aca="false">INDEX(Data!$B$3:$T$21,MATCH(C89,Data!$A$3:$A$21,0),MATCH(D89,Data!$B$2:$T$2,0))</f>
        <v>9472</v>
      </c>
      <c r="R89" s="3" t="n">
        <f aca="false">IF(J89&gt;0,P89/J89,"")</f>
        <v>0.999846088457105</v>
      </c>
      <c r="S89" s="3" t="n">
        <f aca="false">IF(J89&gt;0,Q89/J89,"")</f>
        <v>0.999683377308707</v>
      </c>
      <c r="T89" s="6" t="n">
        <f aca="false">IF(J89&gt;0,R89-S89,"")</f>
        <v>0.000162711148397499</v>
      </c>
      <c r="U89" s="1" t="s">
        <v>20</v>
      </c>
      <c r="V89" s="8" t="n">
        <f aca="false">ABS(O89)</f>
        <v>1.54168813106721</v>
      </c>
      <c r="W89" s="8" t="n">
        <f aca="false">O89^2</f>
        <v>2.3768022934735</v>
      </c>
      <c r="X89" s="12" t="n">
        <f aca="false">IF(M89&gt;0,O89^2/M89,0)</f>
        <v>1.54168813106721</v>
      </c>
      <c r="Y89" s="8" t="n">
        <f aca="false">IF(V89&lt;=Metrics!$C$3,0.5*O89^2,Metrics!$C$3*(V89-0.5*Metrics!$C$3))</f>
        <v>1.18840114673675</v>
      </c>
      <c r="Z89" s="8" t="n">
        <f aca="false">ABS(P89-Q89)</f>
        <v>1.54168813106662</v>
      </c>
      <c r="AA89" s="13" t="n">
        <f aca="false">IF(J89&gt;0,T89^2,0)</f>
        <v>2.64749178128328E-008</v>
      </c>
    </row>
    <row r="90" customFormat="false" ht="15" hidden="false" customHeight="false" outlineLevel="0" collapsed="false">
      <c r="A90" s="11" t="s">
        <v>63</v>
      </c>
      <c r="B90" s="11" t="n">
        <v>2024</v>
      </c>
      <c r="C90" s="11" t="n">
        <v>2009</v>
      </c>
      <c r="D90" s="11" t="n">
        <v>2025</v>
      </c>
      <c r="E90" s="1" t="n">
        <f aca="false">D90-B90</f>
        <v>1</v>
      </c>
      <c r="F90" s="1" t="n">
        <f aca="false">B90-C90+1</f>
        <v>16</v>
      </c>
      <c r="G90" s="1" t="n">
        <f aca="false">D90-C90+1</f>
        <v>17</v>
      </c>
      <c r="H90" s="8" t="n">
        <f aca="false">INDEX(Data!$B$3:$T$21,MATCH(C90,Data!$A$3:$A$21,0),MATCH(B90,Data!$B$2:$T$2,0))</f>
        <v>8788</v>
      </c>
      <c r="I90" s="8" t="n">
        <f aca="false">INDEX(Data!$B$25:$T$43,MATCH(C90,Data!$A$3:$A$21,0),MATCH(B90,Data!$B$2:$T$2,0))</f>
        <v>0</v>
      </c>
      <c r="J90" s="8" t="n">
        <f aca="false">H90+I90</f>
        <v>8788</v>
      </c>
      <c r="K90" s="3" t="n">
        <f aca="false">INDEX('pattern input'!$B$2:$AO$5,MATCH(A90&amp;"_"&amp;B90,'pattern input'!$A$2:$A$5,0),F90)</f>
        <v>0.947897892858627</v>
      </c>
      <c r="L90" s="3" t="n">
        <f aca="false">INDEX('pattern input'!$B$2:$AO$5,MATCH(A90&amp;"_"&amp;B90,'pattern input'!$A$2:$A$5,0),G90)</f>
        <v>0.966278258403458</v>
      </c>
      <c r="M90" s="8" t="n">
        <f aca="false">IF(K90&gt;=1,0,I90*(L90-INDEX('pattern input'!$B$2:$AO$5,MATCH(A90&amp;"_"&amp;B90,'pattern input'!$A$2:$A$5,0),G90-1))/(1-K90))</f>
        <v>0</v>
      </c>
      <c r="N90" s="8" t="n">
        <f aca="false">INDEX(Data!$B$3:$T$21,MATCH(C90,Data!$A$3:$A$21,0),MATCH(D90,Data!$B$2:$T$2,0))-INDEX(Data!$B$3:$T$21,MATCH(C90,Data!$A$3:$A$21,0),MATCH(D90-1,Data!$B$2:$T$2,0))</f>
        <v>0</v>
      </c>
      <c r="O90" s="9" t="n">
        <f aca="false">M90-N90</f>
        <v>0</v>
      </c>
      <c r="P90" s="8" t="n">
        <f aca="false">IF(K90&gt;=1,H90+I90,H90+I90*(L90-K90)/(1-K90))</f>
        <v>8788</v>
      </c>
      <c r="Q90" s="8" t="n">
        <f aca="false">INDEX(Data!$B$3:$T$21,MATCH(C90,Data!$A$3:$A$21,0),MATCH(D90,Data!$B$2:$T$2,0))</f>
        <v>8788</v>
      </c>
      <c r="R90" s="3" t="n">
        <f aca="false">IF(J90&gt;0,P90/J90,"")</f>
        <v>1</v>
      </c>
      <c r="S90" s="3" t="n">
        <f aca="false">IF(J90&gt;0,Q90/J90,"")</f>
        <v>1</v>
      </c>
      <c r="T90" s="6" t="n">
        <f aca="false">IF(J90&gt;0,R90-S90,"")</f>
        <v>0</v>
      </c>
      <c r="U90" s="1" t="s">
        <v>20</v>
      </c>
      <c r="V90" s="8" t="n">
        <f aca="false">ABS(O90)</f>
        <v>0</v>
      </c>
      <c r="W90" s="8" t="n">
        <f aca="false">O90^2</f>
        <v>0</v>
      </c>
      <c r="X90" s="12" t="n">
        <f aca="false">IF(M90&gt;0,O90^2/M90,0)</f>
        <v>0</v>
      </c>
      <c r="Y90" s="8" t="n">
        <f aca="false">IF(V90&lt;=Metrics!$C$3,0.5*O90^2,Metrics!$C$3*(V90-0.5*Metrics!$C$3))</f>
        <v>0</v>
      </c>
      <c r="Z90" s="8" t="n">
        <f aca="false">ABS(P90-Q90)</f>
        <v>0</v>
      </c>
      <c r="AA90" s="13" t="n">
        <f aca="false">IF(J90&gt;0,T90^2,0)</f>
        <v>0</v>
      </c>
    </row>
    <row r="91" customFormat="false" ht="15" hidden="false" customHeight="false" outlineLevel="0" collapsed="false">
      <c r="A91" s="11" t="s">
        <v>63</v>
      </c>
      <c r="B91" s="11" t="n">
        <v>2024</v>
      </c>
      <c r="C91" s="11" t="n">
        <v>2010</v>
      </c>
      <c r="D91" s="11" t="n">
        <v>2025</v>
      </c>
      <c r="E91" s="1" t="n">
        <f aca="false">D91-B91</f>
        <v>1</v>
      </c>
      <c r="F91" s="1" t="n">
        <f aca="false">B91-C91+1</f>
        <v>15</v>
      </c>
      <c r="G91" s="1" t="n">
        <f aca="false">D91-C91+1</f>
        <v>16</v>
      </c>
      <c r="H91" s="8" t="n">
        <f aca="false">INDEX(Data!$B$3:$T$21,MATCH(C91,Data!$A$3:$A$21,0),MATCH(B91,Data!$B$2:$T$2,0))</f>
        <v>8854</v>
      </c>
      <c r="I91" s="8" t="n">
        <f aca="false">INDEX(Data!$B$25:$T$43,MATCH(C91,Data!$A$3:$A$21,0),MATCH(B91,Data!$B$2:$T$2,0))</f>
        <v>0</v>
      </c>
      <c r="J91" s="8" t="n">
        <f aca="false">H91+I91</f>
        <v>8854</v>
      </c>
      <c r="K91" s="3" t="n">
        <f aca="false">INDEX('pattern input'!$B$2:$AO$5,MATCH(A91&amp;"_"&amp;B91,'pattern input'!$A$2:$A$5,0),F91)</f>
        <v>0.928330898876823</v>
      </c>
      <c r="L91" s="3" t="n">
        <f aca="false">INDEX('pattern input'!$B$2:$AO$5,MATCH(A91&amp;"_"&amp;B91,'pattern input'!$A$2:$A$5,0),G91)</f>
        <v>0.947897892858627</v>
      </c>
      <c r="M91" s="8" t="n">
        <f aca="false">IF(K91&gt;=1,0,I91*(L91-INDEX('pattern input'!$B$2:$AO$5,MATCH(A91&amp;"_"&amp;B91,'pattern input'!$A$2:$A$5,0),G91-1))/(1-K91))</f>
        <v>0</v>
      </c>
      <c r="N91" s="8" t="n">
        <f aca="false">INDEX(Data!$B$3:$T$21,MATCH(C91,Data!$A$3:$A$21,0),MATCH(D91,Data!$B$2:$T$2,0))-INDEX(Data!$B$3:$T$21,MATCH(C91,Data!$A$3:$A$21,0),MATCH(D91-1,Data!$B$2:$T$2,0))</f>
        <v>0</v>
      </c>
      <c r="O91" s="9" t="n">
        <f aca="false">M91-N91</f>
        <v>0</v>
      </c>
      <c r="P91" s="8" t="n">
        <f aca="false">IF(K91&gt;=1,H91+I91,H91+I91*(L91-K91)/(1-K91))</f>
        <v>8854</v>
      </c>
      <c r="Q91" s="8" t="n">
        <f aca="false">INDEX(Data!$B$3:$T$21,MATCH(C91,Data!$A$3:$A$21,0),MATCH(D91,Data!$B$2:$T$2,0))</f>
        <v>8854</v>
      </c>
      <c r="R91" s="3" t="n">
        <f aca="false">IF(J91&gt;0,P91/J91,"")</f>
        <v>1</v>
      </c>
      <c r="S91" s="3" t="n">
        <f aca="false">IF(J91&gt;0,Q91/J91,"")</f>
        <v>1</v>
      </c>
      <c r="T91" s="6" t="n">
        <f aca="false">IF(J91&gt;0,R91-S91,"")</f>
        <v>0</v>
      </c>
      <c r="U91" s="1" t="s">
        <v>20</v>
      </c>
      <c r="V91" s="8" t="n">
        <f aca="false">ABS(O91)</f>
        <v>0</v>
      </c>
      <c r="W91" s="8" t="n">
        <f aca="false">O91^2</f>
        <v>0</v>
      </c>
      <c r="X91" s="12" t="n">
        <f aca="false">IF(M91&gt;0,O91^2/M91,0)</f>
        <v>0</v>
      </c>
      <c r="Y91" s="8" t="n">
        <f aca="false">IF(V91&lt;=Metrics!$C$3,0.5*O91^2,Metrics!$C$3*(V91-0.5*Metrics!$C$3))</f>
        <v>0</v>
      </c>
      <c r="Z91" s="8" t="n">
        <f aca="false">ABS(P91-Q91)</f>
        <v>0</v>
      </c>
      <c r="AA91" s="13" t="n">
        <f aca="false">IF(J91&gt;0,T91^2,0)</f>
        <v>0</v>
      </c>
    </row>
    <row r="92" customFormat="false" ht="15" hidden="false" customHeight="false" outlineLevel="0" collapsed="false">
      <c r="A92" s="11" t="s">
        <v>63</v>
      </c>
      <c r="B92" s="11" t="n">
        <v>2024</v>
      </c>
      <c r="C92" s="11" t="n">
        <v>2011</v>
      </c>
      <c r="D92" s="11" t="n">
        <v>2025</v>
      </c>
      <c r="E92" s="1" t="n">
        <f aca="false">D92-B92</f>
        <v>1</v>
      </c>
      <c r="F92" s="1" t="n">
        <f aca="false">B92-C92+1</f>
        <v>14</v>
      </c>
      <c r="G92" s="1" t="n">
        <f aca="false">D92-C92+1</f>
        <v>15</v>
      </c>
      <c r="H92" s="8" t="n">
        <f aca="false">INDEX(Data!$B$3:$T$21,MATCH(C92,Data!$A$3:$A$21,0),MATCH(B92,Data!$B$2:$T$2,0))</f>
        <v>26889</v>
      </c>
      <c r="I92" s="8" t="n">
        <f aca="false">INDEX(Data!$B$25:$T$43,MATCH(C92,Data!$A$3:$A$21,0),MATCH(B92,Data!$B$2:$T$2,0))</f>
        <v>0</v>
      </c>
      <c r="J92" s="8" t="n">
        <f aca="false">H92+I92</f>
        <v>26889</v>
      </c>
      <c r="K92" s="3" t="n">
        <f aca="false">INDEX('pattern input'!$B$2:$AO$5,MATCH(A92&amp;"_"&amp;B92,'pattern input'!$A$2:$A$5,0),F92)</f>
        <v>0.907413420797414</v>
      </c>
      <c r="L92" s="3" t="n">
        <f aca="false">INDEX('pattern input'!$B$2:$AO$5,MATCH(A92&amp;"_"&amp;B92,'pattern input'!$A$2:$A$5,0),G92)</f>
        <v>0.928330898876823</v>
      </c>
      <c r="M92" s="8" t="n">
        <f aca="false">IF(K92&gt;=1,0,I92*(L92-INDEX('pattern input'!$B$2:$AO$5,MATCH(A92&amp;"_"&amp;B92,'pattern input'!$A$2:$A$5,0),G92-1))/(1-K92))</f>
        <v>0</v>
      </c>
      <c r="N92" s="8" t="n">
        <f aca="false">INDEX(Data!$B$3:$T$21,MATCH(C92,Data!$A$3:$A$21,0),MATCH(D92,Data!$B$2:$T$2,0))-INDEX(Data!$B$3:$T$21,MATCH(C92,Data!$A$3:$A$21,0),MATCH(D92-1,Data!$B$2:$T$2,0))</f>
        <v>0</v>
      </c>
      <c r="O92" s="9" t="n">
        <f aca="false">M92-N92</f>
        <v>0</v>
      </c>
      <c r="P92" s="8" t="n">
        <f aca="false">IF(K92&gt;=1,H92+I92,H92+I92*(L92-K92)/(1-K92))</f>
        <v>26889</v>
      </c>
      <c r="Q92" s="8" t="n">
        <f aca="false">INDEX(Data!$B$3:$T$21,MATCH(C92,Data!$A$3:$A$21,0),MATCH(D92,Data!$B$2:$T$2,0))</f>
        <v>26889</v>
      </c>
      <c r="R92" s="3" t="n">
        <f aca="false">IF(J92&gt;0,P92/J92,"")</f>
        <v>1</v>
      </c>
      <c r="S92" s="3" t="n">
        <f aca="false">IF(J92&gt;0,Q92/J92,"")</f>
        <v>1</v>
      </c>
      <c r="T92" s="6" t="n">
        <f aca="false">IF(J92&gt;0,R92-S92,"")</f>
        <v>0</v>
      </c>
      <c r="U92" s="1" t="s">
        <v>20</v>
      </c>
      <c r="V92" s="8" t="n">
        <f aca="false">ABS(O92)</f>
        <v>0</v>
      </c>
      <c r="W92" s="8" t="n">
        <f aca="false">O92^2</f>
        <v>0</v>
      </c>
      <c r="X92" s="12" t="n">
        <f aca="false">IF(M92&gt;0,O92^2/M92,0)</f>
        <v>0</v>
      </c>
      <c r="Y92" s="8" t="n">
        <f aca="false">IF(V92&lt;=Metrics!$C$3,0.5*O92^2,Metrics!$C$3*(V92-0.5*Metrics!$C$3))</f>
        <v>0</v>
      </c>
      <c r="Z92" s="8" t="n">
        <f aca="false">ABS(P92-Q92)</f>
        <v>0</v>
      </c>
      <c r="AA92" s="13" t="n">
        <f aca="false">IF(J92&gt;0,T92^2,0)</f>
        <v>0</v>
      </c>
    </row>
    <row r="93" customFormat="false" ht="15" hidden="false" customHeight="false" outlineLevel="0" collapsed="false">
      <c r="A93" s="11" t="s">
        <v>63</v>
      </c>
      <c r="B93" s="11" t="n">
        <v>2024</v>
      </c>
      <c r="C93" s="11" t="n">
        <v>2012</v>
      </c>
      <c r="D93" s="11" t="n">
        <v>2025</v>
      </c>
      <c r="E93" s="1" t="n">
        <f aca="false">D93-B93</f>
        <v>1</v>
      </c>
      <c r="F93" s="1" t="n">
        <f aca="false">B93-C93+1</f>
        <v>13</v>
      </c>
      <c r="G93" s="1" t="n">
        <f aca="false">D93-C93+1</f>
        <v>14</v>
      </c>
      <c r="H93" s="8" t="n">
        <f aca="false">INDEX(Data!$B$3:$T$21,MATCH(C93,Data!$A$3:$A$21,0),MATCH(B93,Data!$B$2:$T$2,0))</f>
        <v>36764</v>
      </c>
      <c r="I93" s="8" t="n">
        <f aca="false">INDEX(Data!$B$25:$T$43,MATCH(C93,Data!$A$3:$A$21,0),MATCH(B93,Data!$B$2:$T$2,0))</f>
        <v>0</v>
      </c>
      <c r="J93" s="8" t="n">
        <f aca="false">H93+I93</f>
        <v>36764</v>
      </c>
      <c r="K93" s="3" t="n">
        <f aca="false">INDEX('pattern input'!$B$2:$AO$5,MATCH(A93&amp;"_"&amp;B93,'pattern input'!$A$2:$A$5,0),F93)</f>
        <v>0.884945130238902</v>
      </c>
      <c r="L93" s="3" t="n">
        <f aca="false">INDEX('pattern input'!$B$2:$AO$5,MATCH(A93&amp;"_"&amp;B93,'pattern input'!$A$2:$A$5,0),G93)</f>
        <v>0.907413420797414</v>
      </c>
      <c r="M93" s="8" t="n">
        <f aca="false">IF(K93&gt;=1,0,I93*(L93-INDEX('pattern input'!$B$2:$AO$5,MATCH(A93&amp;"_"&amp;B93,'pattern input'!$A$2:$A$5,0),G93-1))/(1-K93))</f>
        <v>0</v>
      </c>
      <c r="N93" s="8" t="n">
        <f aca="false">INDEX(Data!$B$3:$T$21,MATCH(C93,Data!$A$3:$A$21,0),MATCH(D93,Data!$B$2:$T$2,0))-INDEX(Data!$B$3:$T$21,MATCH(C93,Data!$A$3:$A$21,0),MATCH(D93-1,Data!$B$2:$T$2,0))</f>
        <v>0</v>
      </c>
      <c r="O93" s="9" t="n">
        <f aca="false">M93-N93</f>
        <v>0</v>
      </c>
      <c r="P93" s="8" t="n">
        <f aca="false">IF(K93&gt;=1,H93+I93,H93+I93*(L93-K93)/(1-K93))</f>
        <v>36764</v>
      </c>
      <c r="Q93" s="8" t="n">
        <f aca="false">INDEX(Data!$B$3:$T$21,MATCH(C93,Data!$A$3:$A$21,0),MATCH(D93,Data!$B$2:$T$2,0))</f>
        <v>36764</v>
      </c>
      <c r="R93" s="3" t="n">
        <f aca="false">IF(J93&gt;0,P93/J93,"")</f>
        <v>1</v>
      </c>
      <c r="S93" s="3" t="n">
        <f aca="false">IF(J93&gt;0,Q93/J93,"")</f>
        <v>1</v>
      </c>
      <c r="T93" s="6" t="n">
        <f aca="false">IF(J93&gt;0,R93-S93,"")</f>
        <v>0</v>
      </c>
      <c r="U93" s="1" t="s">
        <v>20</v>
      </c>
      <c r="V93" s="8" t="n">
        <f aca="false">ABS(O93)</f>
        <v>0</v>
      </c>
      <c r="W93" s="8" t="n">
        <f aca="false">O93^2</f>
        <v>0</v>
      </c>
      <c r="X93" s="12" t="n">
        <f aca="false">IF(M93&gt;0,O93^2/M93,0)</f>
        <v>0</v>
      </c>
      <c r="Y93" s="8" t="n">
        <f aca="false">IF(V93&lt;=Metrics!$C$3,0.5*O93^2,Metrics!$C$3*(V93-0.5*Metrics!$C$3))</f>
        <v>0</v>
      </c>
      <c r="Z93" s="8" t="n">
        <f aca="false">ABS(P93-Q93)</f>
        <v>0</v>
      </c>
      <c r="AA93" s="13" t="n">
        <f aca="false">IF(J93&gt;0,T93^2,0)</f>
        <v>0</v>
      </c>
    </row>
    <row r="94" customFormat="false" ht="15" hidden="false" customHeight="false" outlineLevel="0" collapsed="false">
      <c r="A94" s="11" t="s">
        <v>63</v>
      </c>
      <c r="B94" s="11" t="n">
        <v>2024</v>
      </c>
      <c r="C94" s="11" t="n">
        <v>2013</v>
      </c>
      <c r="D94" s="11" t="n">
        <v>2025</v>
      </c>
      <c r="E94" s="1" t="n">
        <f aca="false">D94-B94</f>
        <v>1</v>
      </c>
      <c r="F94" s="1" t="n">
        <f aca="false">B94-C94+1</f>
        <v>12</v>
      </c>
      <c r="G94" s="1" t="n">
        <f aca="false">D94-C94+1</f>
        <v>13</v>
      </c>
      <c r="H94" s="8" t="n">
        <f aca="false">INDEX(Data!$B$3:$T$21,MATCH(C94,Data!$A$3:$A$21,0),MATCH(B94,Data!$B$2:$T$2,0))</f>
        <v>7000</v>
      </c>
      <c r="I94" s="8" t="n">
        <f aca="false">INDEX(Data!$B$25:$T$43,MATCH(C94,Data!$A$3:$A$21,0),MATCH(B94,Data!$B$2:$T$2,0))</f>
        <v>0</v>
      </c>
      <c r="J94" s="8" t="n">
        <f aca="false">H94+I94</f>
        <v>7000</v>
      </c>
      <c r="K94" s="3" t="n">
        <f aca="false">INDEX('pattern input'!$B$2:$AO$5,MATCH(A94&amp;"_"&amp;B94,'pattern input'!$A$2:$A$5,0),F94)</f>
        <v>0.860677527701235</v>
      </c>
      <c r="L94" s="3" t="n">
        <f aca="false">INDEX('pattern input'!$B$2:$AO$5,MATCH(A94&amp;"_"&amp;B94,'pattern input'!$A$2:$A$5,0),G94)</f>
        <v>0.884945130238902</v>
      </c>
      <c r="M94" s="8" t="n">
        <f aca="false">IF(K94&gt;=1,0,I94*(L94-INDEX('pattern input'!$B$2:$AO$5,MATCH(A94&amp;"_"&amp;B94,'pattern input'!$A$2:$A$5,0),G94-1))/(1-K94))</f>
        <v>0</v>
      </c>
      <c r="N94" s="8" t="n">
        <f aca="false">INDEX(Data!$B$3:$T$21,MATCH(C94,Data!$A$3:$A$21,0),MATCH(D94,Data!$B$2:$T$2,0))-INDEX(Data!$B$3:$T$21,MATCH(C94,Data!$A$3:$A$21,0),MATCH(D94-1,Data!$B$2:$T$2,0))</f>
        <v>0</v>
      </c>
      <c r="O94" s="9" t="n">
        <f aca="false">M94-N94</f>
        <v>0</v>
      </c>
      <c r="P94" s="8" t="n">
        <f aca="false">IF(K94&gt;=1,H94+I94,H94+I94*(L94-K94)/(1-K94))</f>
        <v>7000</v>
      </c>
      <c r="Q94" s="8" t="n">
        <f aca="false">INDEX(Data!$B$3:$T$21,MATCH(C94,Data!$A$3:$A$21,0),MATCH(D94,Data!$B$2:$T$2,0))</f>
        <v>7000</v>
      </c>
      <c r="R94" s="3" t="n">
        <f aca="false">IF(J94&gt;0,P94/J94,"")</f>
        <v>1</v>
      </c>
      <c r="S94" s="3" t="n">
        <f aca="false">IF(J94&gt;0,Q94/J94,"")</f>
        <v>1</v>
      </c>
      <c r="T94" s="6" t="n">
        <f aca="false">IF(J94&gt;0,R94-S94,"")</f>
        <v>0</v>
      </c>
      <c r="U94" s="1" t="s">
        <v>20</v>
      </c>
      <c r="V94" s="8" t="n">
        <f aca="false">ABS(O94)</f>
        <v>0</v>
      </c>
      <c r="W94" s="8" t="n">
        <f aca="false">O94^2</f>
        <v>0</v>
      </c>
      <c r="X94" s="12" t="n">
        <f aca="false">IF(M94&gt;0,O94^2/M94,0)</f>
        <v>0</v>
      </c>
      <c r="Y94" s="8" t="n">
        <f aca="false">IF(V94&lt;=Metrics!$C$3,0.5*O94^2,Metrics!$C$3*(V94-0.5*Metrics!$C$3))</f>
        <v>0</v>
      </c>
      <c r="Z94" s="8" t="n">
        <f aca="false">ABS(P94-Q94)</f>
        <v>0</v>
      </c>
      <c r="AA94" s="13" t="n">
        <f aca="false">IF(J94&gt;0,T94^2,0)</f>
        <v>0</v>
      </c>
    </row>
    <row r="95" customFormat="false" ht="15" hidden="false" customHeight="false" outlineLevel="0" collapsed="false">
      <c r="A95" s="11" t="s">
        <v>63</v>
      </c>
      <c r="B95" s="11" t="n">
        <v>2024</v>
      </c>
      <c r="C95" s="11" t="n">
        <v>2014</v>
      </c>
      <c r="D95" s="11" t="n">
        <v>2025</v>
      </c>
      <c r="E95" s="1" t="n">
        <f aca="false">D95-B95</f>
        <v>1</v>
      </c>
      <c r="F95" s="1" t="n">
        <f aca="false">B95-C95+1</f>
        <v>11</v>
      </c>
      <c r="G95" s="1" t="n">
        <f aca="false">D95-C95+1</f>
        <v>12</v>
      </c>
      <c r="H95" s="8" t="n">
        <f aca="false">INDEX(Data!$B$3:$T$21,MATCH(C95,Data!$A$3:$A$21,0),MATCH(B95,Data!$B$2:$T$2,0))</f>
        <v>23172</v>
      </c>
      <c r="I95" s="8" t="n">
        <f aca="false">INDEX(Data!$B$25:$T$43,MATCH(C95,Data!$A$3:$A$21,0),MATCH(B95,Data!$B$2:$T$2,0))</f>
        <v>0</v>
      </c>
      <c r="J95" s="8" t="n">
        <f aca="false">H95+I95</f>
        <v>23172</v>
      </c>
      <c r="K95" s="3" t="n">
        <f aca="false">INDEX('pattern input'!$B$2:$AO$5,MATCH(A95&amp;"_"&amp;B95,'pattern input'!$A$2:$A$5,0),F95)</f>
        <v>0.834297141849576</v>
      </c>
      <c r="L95" s="3" t="n">
        <f aca="false">INDEX('pattern input'!$B$2:$AO$5,MATCH(A95&amp;"_"&amp;B95,'pattern input'!$A$2:$A$5,0),G95)</f>
        <v>0.860677527701235</v>
      </c>
      <c r="M95" s="8" t="n">
        <f aca="false">IF(K95&gt;=1,0,I95*(L95-INDEX('pattern input'!$B$2:$AO$5,MATCH(A95&amp;"_"&amp;B95,'pattern input'!$A$2:$A$5,0),G95-1))/(1-K95))</f>
        <v>0</v>
      </c>
      <c r="N95" s="8" t="n">
        <f aca="false">INDEX(Data!$B$3:$T$21,MATCH(C95,Data!$A$3:$A$21,0),MATCH(D95,Data!$B$2:$T$2,0))-INDEX(Data!$B$3:$T$21,MATCH(C95,Data!$A$3:$A$21,0),MATCH(D95-1,Data!$B$2:$T$2,0))</f>
        <v>0</v>
      </c>
      <c r="O95" s="9" t="n">
        <f aca="false">M95-N95</f>
        <v>0</v>
      </c>
      <c r="P95" s="8" t="n">
        <f aca="false">IF(K95&gt;=1,H95+I95,H95+I95*(L95-K95)/(1-K95))</f>
        <v>23172</v>
      </c>
      <c r="Q95" s="8" t="n">
        <f aca="false">INDEX(Data!$B$3:$T$21,MATCH(C95,Data!$A$3:$A$21,0),MATCH(D95,Data!$B$2:$T$2,0))</f>
        <v>23172</v>
      </c>
      <c r="R95" s="3" t="n">
        <f aca="false">IF(J95&gt;0,P95/J95,"")</f>
        <v>1</v>
      </c>
      <c r="S95" s="3" t="n">
        <f aca="false">IF(J95&gt;0,Q95/J95,"")</f>
        <v>1</v>
      </c>
      <c r="T95" s="6" t="n">
        <f aca="false">IF(J95&gt;0,R95-S95,"")</f>
        <v>0</v>
      </c>
      <c r="U95" s="1" t="s">
        <v>20</v>
      </c>
      <c r="V95" s="8" t="n">
        <f aca="false">ABS(O95)</f>
        <v>0</v>
      </c>
      <c r="W95" s="8" t="n">
        <f aca="false">O95^2</f>
        <v>0</v>
      </c>
      <c r="X95" s="12" t="n">
        <f aca="false">IF(M95&gt;0,O95^2/M95,0)</f>
        <v>0</v>
      </c>
      <c r="Y95" s="8" t="n">
        <f aca="false">IF(V95&lt;=Metrics!$C$3,0.5*O95^2,Metrics!$C$3*(V95-0.5*Metrics!$C$3))</f>
        <v>0</v>
      </c>
      <c r="Z95" s="8" t="n">
        <f aca="false">ABS(P95-Q95)</f>
        <v>0</v>
      </c>
      <c r="AA95" s="13" t="n">
        <f aca="false">IF(J95&gt;0,T95^2,0)</f>
        <v>0</v>
      </c>
    </row>
    <row r="96" customFormat="false" ht="15" hidden="false" customHeight="false" outlineLevel="0" collapsed="false">
      <c r="A96" s="11" t="s">
        <v>63</v>
      </c>
      <c r="B96" s="11" t="n">
        <v>2024</v>
      </c>
      <c r="C96" s="11" t="n">
        <v>2015</v>
      </c>
      <c r="D96" s="11" t="n">
        <v>2025</v>
      </c>
      <c r="E96" s="1" t="n">
        <f aca="false">D96-B96</f>
        <v>1</v>
      </c>
      <c r="F96" s="1" t="n">
        <f aca="false">B96-C96+1</f>
        <v>10</v>
      </c>
      <c r="G96" s="1" t="n">
        <f aca="false">D96-C96+1</f>
        <v>11</v>
      </c>
      <c r="H96" s="8" t="n">
        <f aca="false">INDEX(Data!$B$3:$T$21,MATCH(C96,Data!$A$3:$A$21,0),MATCH(B96,Data!$B$2:$T$2,0))</f>
        <v>31462</v>
      </c>
      <c r="I96" s="8" t="n">
        <f aca="false">INDEX(Data!$B$25:$T$43,MATCH(C96,Data!$A$3:$A$21,0),MATCH(B96,Data!$B$2:$T$2,0))</f>
        <v>0</v>
      </c>
      <c r="J96" s="8" t="n">
        <f aca="false">H96+I96</f>
        <v>31462</v>
      </c>
      <c r="K96" s="3" t="n">
        <f aca="false">INDEX('pattern input'!$B$2:$AO$5,MATCH(A96&amp;"_"&amp;B96,'pattern input'!$A$2:$A$5,0),F96)</f>
        <v>0.805400698581831</v>
      </c>
      <c r="L96" s="3" t="n">
        <f aca="false">INDEX('pattern input'!$B$2:$AO$5,MATCH(A96&amp;"_"&amp;B96,'pattern input'!$A$2:$A$5,0),G96)</f>
        <v>0.834297141849576</v>
      </c>
      <c r="M96" s="8" t="n">
        <f aca="false">IF(K96&gt;=1,0,I96*(L96-INDEX('pattern input'!$B$2:$AO$5,MATCH(A96&amp;"_"&amp;B96,'pattern input'!$A$2:$A$5,0),G96-1))/(1-K96))</f>
        <v>0</v>
      </c>
      <c r="N96" s="8" t="n">
        <f aca="false">INDEX(Data!$B$3:$T$21,MATCH(C96,Data!$A$3:$A$21,0),MATCH(D96,Data!$B$2:$T$2,0))-INDEX(Data!$B$3:$T$21,MATCH(C96,Data!$A$3:$A$21,0),MATCH(D96-1,Data!$B$2:$T$2,0))</f>
        <v>0</v>
      </c>
      <c r="O96" s="9" t="n">
        <f aca="false">M96-N96</f>
        <v>0</v>
      </c>
      <c r="P96" s="8" t="n">
        <f aca="false">IF(K96&gt;=1,H96+I96,H96+I96*(L96-K96)/(1-K96))</f>
        <v>31462</v>
      </c>
      <c r="Q96" s="8" t="n">
        <f aca="false">INDEX(Data!$B$3:$T$21,MATCH(C96,Data!$A$3:$A$21,0),MATCH(D96,Data!$B$2:$T$2,0))</f>
        <v>31462</v>
      </c>
      <c r="R96" s="3" t="n">
        <f aca="false">IF(J96&gt;0,P96/J96,"")</f>
        <v>1</v>
      </c>
      <c r="S96" s="3" t="n">
        <f aca="false">IF(J96&gt;0,Q96/J96,"")</f>
        <v>1</v>
      </c>
      <c r="T96" s="6" t="n">
        <f aca="false">IF(J96&gt;0,R96-S96,"")</f>
        <v>0</v>
      </c>
      <c r="U96" s="1" t="s">
        <v>20</v>
      </c>
      <c r="V96" s="8" t="n">
        <f aca="false">ABS(O96)</f>
        <v>0</v>
      </c>
      <c r="W96" s="8" t="n">
        <f aca="false">O96^2</f>
        <v>0</v>
      </c>
      <c r="X96" s="12" t="n">
        <f aca="false">IF(M96&gt;0,O96^2/M96,0)</f>
        <v>0</v>
      </c>
      <c r="Y96" s="8" t="n">
        <f aca="false">IF(V96&lt;=Metrics!$C$3,0.5*O96^2,Metrics!$C$3*(V96-0.5*Metrics!$C$3))</f>
        <v>0</v>
      </c>
      <c r="Z96" s="8" t="n">
        <f aca="false">ABS(P96-Q96)</f>
        <v>0</v>
      </c>
      <c r="AA96" s="13" t="n">
        <f aca="false">IF(J96&gt;0,T96^2,0)</f>
        <v>0</v>
      </c>
    </row>
    <row r="97" customFormat="false" ht="15" hidden="false" customHeight="false" outlineLevel="0" collapsed="false">
      <c r="A97" s="11" t="s">
        <v>63</v>
      </c>
      <c r="B97" s="11" t="n">
        <v>2024</v>
      </c>
      <c r="C97" s="11" t="n">
        <v>2016</v>
      </c>
      <c r="D97" s="11" t="n">
        <v>2025</v>
      </c>
      <c r="E97" s="1" t="n">
        <f aca="false">D97-B97</f>
        <v>1</v>
      </c>
      <c r="F97" s="1" t="n">
        <f aca="false">B97-C97+1</f>
        <v>9</v>
      </c>
      <c r="G97" s="1" t="n">
        <f aca="false">D97-C97+1</f>
        <v>10</v>
      </c>
      <c r="H97" s="8" t="n">
        <f aca="false">INDEX(Data!$B$3:$T$21,MATCH(C97,Data!$A$3:$A$21,0),MATCH(B97,Data!$B$2:$T$2,0))</f>
        <v>2439</v>
      </c>
      <c r="I97" s="8" t="n">
        <f aca="false">INDEX(Data!$B$25:$T$43,MATCH(C97,Data!$A$3:$A$21,0),MATCH(B97,Data!$B$2:$T$2,0))</f>
        <v>0</v>
      </c>
      <c r="J97" s="8" t="n">
        <f aca="false">H97+I97</f>
        <v>2439</v>
      </c>
      <c r="K97" s="3" t="n">
        <f aca="false">INDEX('pattern input'!$B$2:$AO$5,MATCH(A97&amp;"_"&amp;B97,'pattern input'!$A$2:$A$5,0),F97)</f>
        <v>0.773457162543843</v>
      </c>
      <c r="L97" s="3" t="n">
        <f aca="false">INDEX('pattern input'!$B$2:$AO$5,MATCH(A97&amp;"_"&amp;B97,'pattern input'!$A$2:$A$5,0),G97)</f>
        <v>0.805400698581831</v>
      </c>
      <c r="M97" s="8" t="n">
        <f aca="false">IF(K97&gt;=1,0,I97*(L97-INDEX('pattern input'!$B$2:$AO$5,MATCH(A97&amp;"_"&amp;B97,'pattern input'!$A$2:$A$5,0),G97-1))/(1-K97))</f>
        <v>0</v>
      </c>
      <c r="N97" s="8" t="n">
        <f aca="false">INDEX(Data!$B$3:$T$21,MATCH(C97,Data!$A$3:$A$21,0),MATCH(D97,Data!$B$2:$T$2,0))-INDEX(Data!$B$3:$T$21,MATCH(C97,Data!$A$3:$A$21,0),MATCH(D97-1,Data!$B$2:$T$2,0))</f>
        <v>0</v>
      </c>
      <c r="O97" s="9" t="n">
        <f aca="false">M97-N97</f>
        <v>0</v>
      </c>
      <c r="P97" s="8" t="n">
        <f aca="false">IF(K97&gt;=1,H97+I97,H97+I97*(L97-K97)/(1-K97))</f>
        <v>2439</v>
      </c>
      <c r="Q97" s="8" t="n">
        <f aca="false">INDEX(Data!$B$3:$T$21,MATCH(C97,Data!$A$3:$A$21,0),MATCH(D97,Data!$B$2:$T$2,0))</f>
        <v>2439</v>
      </c>
      <c r="R97" s="3" t="n">
        <f aca="false">IF(J97&gt;0,P97/J97,"")</f>
        <v>1</v>
      </c>
      <c r="S97" s="3" t="n">
        <f aca="false">IF(J97&gt;0,Q97/J97,"")</f>
        <v>1</v>
      </c>
      <c r="T97" s="6" t="n">
        <f aca="false">IF(J97&gt;0,R97-S97,"")</f>
        <v>0</v>
      </c>
      <c r="U97" s="1" t="s">
        <v>20</v>
      </c>
      <c r="V97" s="8" t="n">
        <f aca="false">ABS(O97)</f>
        <v>0</v>
      </c>
      <c r="W97" s="8" t="n">
        <f aca="false">O97^2</f>
        <v>0</v>
      </c>
      <c r="X97" s="12" t="n">
        <f aca="false">IF(M97&gt;0,O97^2/M97,0)</f>
        <v>0</v>
      </c>
      <c r="Y97" s="8" t="n">
        <f aca="false">IF(V97&lt;=Metrics!$C$3,0.5*O97^2,Metrics!$C$3*(V97-0.5*Metrics!$C$3))</f>
        <v>0</v>
      </c>
      <c r="Z97" s="8" t="n">
        <f aca="false">ABS(P97-Q97)</f>
        <v>0</v>
      </c>
      <c r="AA97" s="13" t="n">
        <f aca="false">IF(J97&gt;0,T97^2,0)</f>
        <v>0</v>
      </c>
    </row>
    <row r="98" customFormat="false" ht="15" hidden="false" customHeight="false" outlineLevel="0" collapsed="false">
      <c r="A98" s="11" t="s">
        <v>63</v>
      </c>
      <c r="B98" s="11" t="n">
        <v>2024</v>
      </c>
      <c r="C98" s="11" t="n">
        <v>2017</v>
      </c>
      <c r="D98" s="11" t="n">
        <v>2025</v>
      </c>
      <c r="E98" s="1" t="n">
        <f aca="false">D98-B98</f>
        <v>1</v>
      </c>
      <c r="F98" s="1" t="n">
        <f aca="false">B98-C98+1</f>
        <v>8</v>
      </c>
      <c r="G98" s="1" t="n">
        <f aca="false">D98-C98+1</f>
        <v>9</v>
      </c>
      <c r="H98" s="8" t="n">
        <f aca="false">INDEX(Data!$B$3:$T$21,MATCH(C98,Data!$A$3:$A$21,0),MATCH(B98,Data!$B$2:$T$2,0))</f>
        <v>6410</v>
      </c>
      <c r="I98" s="8" t="n">
        <f aca="false">INDEX(Data!$B$25:$T$43,MATCH(C98,Data!$A$3:$A$21,0),MATCH(B98,Data!$B$2:$T$2,0))</f>
        <v>0</v>
      </c>
      <c r="J98" s="8" t="n">
        <f aca="false">H98+I98</f>
        <v>6410</v>
      </c>
      <c r="K98" s="3" t="n">
        <f aca="false">INDEX('pattern input'!$B$2:$AO$5,MATCH(A98&amp;"_"&amp;B98,'pattern input'!$A$2:$A$5,0),F98)</f>
        <v>0.737747327406244</v>
      </c>
      <c r="L98" s="3" t="n">
        <f aca="false">INDEX('pattern input'!$B$2:$AO$5,MATCH(A98&amp;"_"&amp;B98,'pattern input'!$A$2:$A$5,0),G98)</f>
        <v>0.773457162543843</v>
      </c>
      <c r="M98" s="8" t="n">
        <f aca="false">IF(K98&gt;=1,0,I98*(L98-INDEX('pattern input'!$B$2:$AO$5,MATCH(A98&amp;"_"&amp;B98,'pattern input'!$A$2:$A$5,0),G98-1))/(1-K98))</f>
        <v>0</v>
      </c>
      <c r="N98" s="8" t="n">
        <f aca="false">INDEX(Data!$B$3:$T$21,MATCH(C98,Data!$A$3:$A$21,0),MATCH(D98,Data!$B$2:$T$2,0))-INDEX(Data!$B$3:$T$21,MATCH(C98,Data!$A$3:$A$21,0),MATCH(D98-1,Data!$B$2:$T$2,0))</f>
        <v>0</v>
      </c>
      <c r="O98" s="9" t="n">
        <f aca="false">M98-N98</f>
        <v>0</v>
      </c>
      <c r="P98" s="8" t="n">
        <f aca="false">IF(K98&gt;=1,H98+I98,H98+I98*(L98-K98)/(1-K98))</f>
        <v>6410</v>
      </c>
      <c r="Q98" s="8" t="n">
        <f aca="false">INDEX(Data!$B$3:$T$21,MATCH(C98,Data!$A$3:$A$21,0),MATCH(D98,Data!$B$2:$T$2,0))</f>
        <v>6410</v>
      </c>
      <c r="R98" s="3" t="n">
        <f aca="false">IF(J98&gt;0,P98/J98,"")</f>
        <v>1</v>
      </c>
      <c r="S98" s="3" t="n">
        <f aca="false">IF(J98&gt;0,Q98/J98,"")</f>
        <v>1</v>
      </c>
      <c r="T98" s="6" t="n">
        <f aca="false">IF(J98&gt;0,R98-S98,"")</f>
        <v>0</v>
      </c>
      <c r="U98" s="1" t="s">
        <v>20</v>
      </c>
      <c r="V98" s="8" t="n">
        <f aca="false">ABS(O98)</f>
        <v>0</v>
      </c>
      <c r="W98" s="8" t="n">
        <f aca="false">O98^2</f>
        <v>0</v>
      </c>
      <c r="X98" s="12" t="n">
        <f aca="false">IF(M98&gt;0,O98^2/M98,0)</f>
        <v>0</v>
      </c>
      <c r="Y98" s="8" t="n">
        <f aca="false">IF(V98&lt;=Metrics!$C$3,0.5*O98^2,Metrics!$C$3*(V98-0.5*Metrics!$C$3))</f>
        <v>0</v>
      </c>
      <c r="Z98" s="8" t="n">
        <f aca="false">ABS(P98-Q98)</f>
        <v>0</v>
      </c>
      <c r="AA98" s="13" t="n">
        <f aca="false">IF(J98&gt;0,T98^2,0)</f>
        <v>0</v>
      </c>
    </row>
    <row r="99" customFormat="false" ht="15" hidden="false" customHeight="false" outlineLevel="0" collapsed="false">
      <c r="A99" s="11" t="s">
        <v>63</v>
      </c>
      <c r="B99" s="11" t="n">
        <v>2024</v>
      </c>
      <c r="C99" s="11" t="n">
        <v>2018</v>
      </c>
      <c r="D99" s="11" t="n">
        <v>2025</v>
      </c>
      <c r="E99" s="1" t="n">
        <f aca="false">D99-B99</f>
        <v>1</v>
      </c>
      <c r="F99" s="1" t="n">
        <f aca="false">B99-C99+1</f>
        <v>7</v>
      </c>
      <c r="G99" s="1" t="n">
        <f aca="false">D99-C99+1</f>
        <v>8</v>
      </c>
      <c r="H99" s="8" t="n">
        <f aca="false">INDEX(Data!$B$3:$T$21,MATCH(C99,Data!$A$3:$A$21,0),MATCH(B99,Data!$B$2:$T$2,0))</f>
        <v>1613</v>
      </c>
      <c r="I99" s="8" t="n">
        <f aca="false">INDEX(Data!$B$25:$T$43,MATCH(C99,Data!$A$3:$A$21,0),MATCH(B99,Data!$B$2:$T$2,0))</f>
        <v>787</v>
      </c>
      <c r="J99" s="8" t="n">
        <f aca="false">H99+I99</f>
        <v>2400</v>
      </c>
      <c r="K99" s="3" t="n">
        <f aca="false">INDEX('pattern input'!$B$2:$AO$5,MATCH(A99&amp;"_"&amp;B99,'pattern input'!$A$2:$A$5,0),F99)</f>
        <v>0.697262855345031</v>
      </c>
      <c r="L99" s="3" t="n">
        <f aca="false">INDEX('pattern input'!$B$2:$AO$5,MATCH(A99&amp;"_"&amp;B99,'pattern input'!$A$2:$A$5,0),G99)</f>
        <v>0.737747327406244</v>
      </c>
      <c r="M99" s="8" t="n">
        <f aca="false">IF(K99&gt;=1,0,I99*(L99-INDEX('pattern input'!$B$2:$AO$5,MATCH(A99&amp;"_"&amp;B99,'pattern input'!$A$2:$A$5,0),G99-1))/(1-K99))</f>
        <v>105.244037854975</v>
      </c>
      <c r="N99" s="8" t="n">
        <f aca="false">INDEX(Data!$B$3:$T$21,MATCH(C99,Data!$A$3:$A$21,0),MATCH(D99,Data!$B$2:$T$2,0))-INDEX(Data!$B$3:$T$21,MATCH(C99,Data!$A$3:$A$21,0),MATCH(D99-1,Data!$B$2:$T$2,0))</f>
        <v>0</v>
      </c>
      <c r="O99" s="9" t="n">
        <f aca="false">M99-N99</f>
        <v>105.244037854975</v>
      </c>
      <c r="P99" s="8" t="n">
        <f aca="false">IF(K99&gt;=1,H99+I99,H99+I99*(L99-K99)/(1-K99))</f>
        <v>1718.24403785497</v>
      </c>
      <c r="Q99" s="8" t="n">
        <f aca="false">INDEX(Data!$B$3:$T$21,MATCH(C99,Data!$A$3:$A$21,0),MATCH(D99,Data!$B$2:$T$2,0))</f>
        <v>1613</v>
      </c>
      <c r="R99" s="3" t="n">
        <f aca="false">IF(J99&gt;0,P99/J99,"")</f>
        <v>0.715935015772906</v>
      </c>
      <c r="S99" s="3" t="n">
        <f aca="false">IF(J99&gt;0,Q99/J99,"")</f>
        <v>0.672083333333333</v>
      </c>
      <c r="T99" s="6" t="n">
        <f aca="false">IF(J99&gt;0,R99-S99,"")</f>
        <v>0.0438516824395727</v>
      </c>
      <c r="U99" s="1" t="s">
        <v>20</v>
      </c>
      <c r="V99" s="8" t="n">
        <f aca="false">ABS(O99)</f>
        <v>105.244037854975</v>
      </c>
      <c r="W99" s="8" t="n">
        <f aca="false">O99^2</f>
        <v>11076.3075040193</v>
      </c>
      <c r="X99" s="12" t="n">
        <f aca="false">IF(M99&gt;0,O99^2/M99,0)</f>
        <v>105.244037854975</v>
      </c>
      <c r="Y99" s="8" t="n">
        <f aca="false">IF(V99&lt;=Metrics!$C$3,0.5*O99^2,Metrics!$C$3*(V99-0.5*Metrics!$C$3))</f>
        <v>5538.15375200967</v>
      </c>
      <c r="Z99" s="8" t="n">
        <f aca="false">ABS(P99-Q99)</f>
        <v>105.244037854975</v>
      </c>
      <c r="AA99" s="13" t="n">
        <f aca="false">IF(J99&gt;0,T99^2,0)</f>
        <v>0.00192297005278113</v>
      </c>
    </row>
    <row r="100" customFormat="false" ht="15" hidden="false" customHeight="false" outlineLevel="0" collapsed="false">
      <c r="A100" s="11" t="s">
        <v>63</v>
      </c>
      <c r="B100" s="11" t="n">
        <v>2024</v>
      </c>
      <c r="C100" s="11" t="n">
        <v>2019</v>
      </c>
      <c r="D100" s="11" t="n">
        <v>2025</v>
      </c>
      <c r="E100" s="1" t="n">
        <f aca="false">D100-B100</f>
        <v>1</v>
      </c>
      <c r="F100" s="1" t="n">
        <f aca="false">B100-C100+1</f>
        <v>6</v>
      </c>
      <c r="G100" s="1" t="n">
        <f aca="false">D100-C100+1</f>
        <v>7</v>
      </c>
      <c r="H100" s="8" t="n">
        <f aca="false">INDEX(Data!$B$3:$T$21,MATCH(C100,Data!$A$3:$A$21,0),MATCH(B100,Data!$B$2:$T$2,0))</f>
        <v>28896</v>
      </c>
      <c r="I100" s="8" t="n">
        <f aca="false">INDEX(Data!$B$25:$T$43,MATCH(C100,Data!$A$3:$A$21,0),MATCH(B100,Data!$B$2:$T$2,0))</f>
        <v>1443</v>
      </c>
      <c r="J100" s="8" t="n">
        <f aca="false">H100+I100</f>
        <v>30339</v>
      </c>
      <c r="K100" s="3" t="n">
        <f aca="false">INDEX('pattern input'!$B$2:$AO$5,MATCH(A100&amp;"_"&amp;B100,'pattern input'!$A$2:$A$5,0),F100)</f>
        <v>0.697262855345031</v>
      </c>
      <c r="L100" s="3" t="n">
        <f aca="false">INDEX('pattern input'!$B$2:$AO$5,MATCH(A100&amp;"_"&amp;B100,'pattern input'!$A$2:$A$5,0),G100)</f>
        <v>0.697262855345031</v>
      </c>
      <c r="M100" s="8" t="n">
        <f aca="false">IF(K100&gt;=1,0,I100*(L100-INDEX('pattern input'!$B$2:$AO$5,MATCH(A100&amp;"_"&amp;B100,'pattern input'!$A$2:$A$5,0),G100-1))/(1-K100))</f>
        <v>0</v>
      </c>
      <c r="N100" s="8" t="n">
        <f aca="false">INDEX(Data!$B$3:$T$21,MATCH(C100,Data!$A$3:$A$21,0),MATCH(D100,Data!$B$2:$T$2,0))-INDEX(Data!$B$3:$T$21,MATCH(C100,Data!$A$3:$A$21,0),MATCH(D100-1,Data!$B$2:$T$2,0))</f>
        <v>0</v>
      </c>
      <c r="O100" s="9" t="n">
        <f aca="false">M100-N100</f>
        <v>0</v>
      </c>
      <c r="P100" s="8" t="n">
        <f aca="false">IF(K100&gt;=1,H100+I100,H100+I100*(L100-K100)/(1-K100))</f>
        <v>28896</v>
      </c>
      <c r="Q100" s="8" t="n">
        <f aca="false">INDEX(Data!$B$3:$T$21,MATCH(C100,Data!$A$3:$A$21,0),MATCH(D100,Data!$B$2:$T$2,0))</f>
        <v>28896</v>
      </c>
      <c r="R100" s="3" t="n">
        <f aca="false">IF(J100&gt;0,P100/J100,"")</f>
        <v>0.952437456738851</v>
      </c>
      <c r="S100" s="3" t="n">
        <f aca="false">IF(J100&gt;0,Q100/J100,"")</f>
        <v>0.952437456738851</v>
      </c>
      <c r="T100" s="6" t="n">
        <f aca="false">IF(J100&gt;0,R100-S100,"")</f>
        <v>0</v>
      </c>
      <c r="U100" s="1" t="s">
        <v>20</v>
      </c>
      <c r="V100" s="8" t="n">
        <f aca="false">ABS(O100)</f>
        <v>0</v>
      </c>
      <c r="W100" s="8" t="n">
        <f aca="false">O100^2</f>
        <v>0</v>
      </c>
      <c r="X100" s="12" t="n">
        <f aca="false">IF(M100&gt;0,O100^2/M100,0)</f>
        <v>0</v>
      </c>
      <c r="Y100" s="8" t="n">
        <f aca="false">IF(V100&lt;=Metrics!$C$3,0.5*O100^2,Metrics!$C$3*(V100-0.5*Metrics!$C$3))</f>
        <v>0</v>
      </c>
      <c r="Z100" s="8" t="n">
        <f aca="false">ABS(P100-Q100)</f>
        <v>0</v>
      </c>
      <c r="AA100" s="13" t="n">
        <f aca="false">IF(J100&gt;0,T100^2,0)</f>
        <v>0</v>
      </c>
    </row>
    <row r="101" customFormat="false" ht="15" hidden="false" customHeight="false" outlineLevel="0" collapsed="false">
      <c r="A101" s="11" t="s">
        <v>63</v>
      </c>
      <c r="B101" s="11" t="n">
        <v>2024</v>
      </c>
      <c r="C101" s="11" t="n">
        <v>2020</v>
      </c>
      <c r="D101" s="11" t="n">
        <v>2025</v>
      </c>
      <c r="E101" s="1" t="n">
        <f aca="false">D101-B101</f>
        <v>1</v>
      </c>
      <c r="F101" s="1" t="n">
        <f aca="false">B101-C101+1</f>
        <v>5</v>
      </c>
      <c r="G101" s="1" t="n">
        <f aca="false">D101-C101+1</f>
        <v>6</v>
      </c>
      <c r="H101" s="8" t="n">
        <f aca="false">INDEX(Data!$B$3:$T$21,MATCH(C101,Data!$A$3:$A$21,0),MATCH(B101,Data!$B$2:$T$2,0))</f>
        <v>99635</v>
      </c>
      <c r="I101" s="8" t="n">
        <f aca="false">INDEX(Data!$B$25:$T$43,MATCH(C101,Data!$A$3:$A$21,0),MATCH(B101,Data!$B$2:$T$2,0))</f>
        <v>41424</v>
      </c>
      <c r="J101" s="8" t="n">
        <f aca="false">H101+I101</f>
        <v>141059</v>
      </c>
      <c r="K101" s="3" t="n">
        <f aca="false">INDEX('pattern input'!$B$2:$AO$5,MATCH(A101&amp;"_"&amp;B101,'pattern input'!$A$2:$A$5,0),F101)</f>
        <v>0.697262855345031</v>
      </c>
      <c r="L101" s="3" t="n">
        <f aca="false">INDEX('pattern input'!$B$2:$AO$5,MATCH(A101&amp;"_"&amp;B101,'pattern input'!$A$2:$A$5,0),G101)</f>
        <v>0.697262855345031</v>
      </c>
      <c r="M101" s="8" t="n">
        <f aca="false">IF(K101&gt;=1,0,I101*(L101-INDEX('pattern input'!$B$2:$AO$5,MATCH(A101&amp;"_"&amp;B101,'pattern input'!$A$2:$A$5,0),G101-1))/(1-K101))</f>
        <v>0</v>
      </c>
      <c r="N101" s="8" t="n">
        <f aca="false">INDEX(Data!$B$3:$T$21,MATCH(C101,Data!$A$3:$A$21,0),MATCH(D101,Data!$B$2:$T$2,0))-INDEX(Data!$B$3:$T$21,MATCH(C101,Data!$A$3:$A$21,0),MATCH(D101-1,Data!$B$2:$T$2,0))</f>
        <v>0</v>
      </c>
      <c r="O101" s="9" t="n">
        <f aca="false">M101-N101</f>
        <v>0</v>
      </c>
      <c r="P101" s="8" t="n">
        <f aca="false">IF(K101&gt;=1,H101+I101,H101+I101*(L101-K101)/(1-K101))</f>
        <v>99635</v>
      </c>
      <c r="Q101" s="8" t="n">
        <f aca="false">INDEX(Data!$B$3:$T$21,MATCH(C101,Data!$A$3:$A$21,0),MATCH(D101,Data!$B$2:$T$2,0))</f>
        <v>99635</v>
      </c>
      <c r="R101" s="3" t="n">
        <f aca="false">IF(J101&gt;0,P101/J101,"")</f>
        <v>0.706335646786097</v>
      </c>
      <c r="S101" s="3" t="n">
        <f aca="false">IF(J101&gt;0,Q101/J101,"")</f>
        <v>0.706335646786097</v>
      </c>
      <c r="T101" s="6" t="n">
        <f aca="false">IF(J101&gt;0,R101-S101,"")</f>
        <v>0</v>
      </c>
      <c r="U101" s="1" t="s">
        <v>20</v>
      </c>
      <c r="V101" s="8" t="n">
        <f aca="false">ABS(O101)</f>
        <v>0</v>
      </c>
      <c r="W101" s="8" t="n">
        <f aca="false">O101^2</f>
        <v>0</v>
      </c>
      <c r="X101" s="12" t="n">
        <f aca="false">IF(M101&gt;0,O101^2/M101,0)</f>
        <v>0</v>
      </c>
      <c r="Y101" s="8" t="n">
        <f aca="false">IF(V101&lt;=Metrics!$C$3,0.5*O101^2,Metrics!$C$3*(V101-0.5*Metrics!$C$3))</f>
        <v>0</v>
      </c>
      <c r="Z101" s="8" t="n">
        <f aca="false">ABS(P101-Q101)</f>
        <v>0</v>
      </c>
      <c r="AA101" s="13" t="n">
        <f aca="false">IF(J101&gt;0,T101^2,0)</f>
        <v>0</v>
      </c>
    </row>
    <row r="102" customFormat="false" ht="15" hidden="false" customHeight="false" outlineLevel="0" collapsed="false">
      <c r="A102" s="11" t="s">
        <v>63</v>
      </c>
      <c r="B102" s="11" t="n">
        <v>2024</v>
      </c>
      <c r="C102" s="11" t="n">
        <v>2021</v>
      </c>
      <c r="D102" s="11" t="n">
        <v>2025</v>
      </c>
      <c r="E102" s="1" t="n">
        <f aca="false">D102-B102</f>
        <v>1</v>
      </c>
      <c r="F102" s="1" t="n">
        <f aca="false">B102-C102+1</f>
        <v>4</v>
      </c>
      <c r="G102" s="1" t="n">
        <f aca="false">D102-C102+1</f>
        <v>5</v>
      </c>
      <c r="H102" s="8" t="n">
        <f aca="false">INDEX(Data!$B$3:$T$21,MATCH(C102,Data!$A$3:$A$21,0),MATCH(B102,Data!$B$2:$T$2,0))</f>
        <v>115040</v>
      </c>
      <c r="I102" s="8" t="n">
        <f aca="false">INDEX(Data!$B$25:$T$43,MATCH(C102,Data!$A$3:$A$21,0),MATCH(B102,Data!$B$2:$T$2,0))</f>
        <v>78856</v>
      </c>
      <c r="J102" s="8" t="n">
        <f aca="false">H102+I102</f>
        <v>193896</v>
      </c>
      <c r="K102" s="3" t="n">
        <f aca="false">INDEX('pattern input'!$B$2:$AO$5,MATCH(A102&amp;"_"&amp;B102,'pattern input'!$A$2:$A$5,0),F102)</f>
        <v>0.596713467971618</v>
      </c>
      <c r="L102" s="3" t="n">
        <f aca="false">INDEX('pattern input'!$B$2:$AO$5,MATCH(A102&amp;"_"&amp;B102,'pattern input'!$A$2:$A$5,0),G102)</f>
        <v>0.697262855345031</v>
      </c>
      <c r="M102" s="8" t="n">
        <f aca="false">IF(K102&gt;=1,0,I102*(L102-INDEX('pattern input'!$B$2:$AO$5,MATCH(A102&amp;"_"&amp;B102,'pattern input'!$A$2:$A$5,0),G102-1))/(1-K102))</f>
        <v>19660.7668766877</v>
      </c>
      <c r="N102" s="8" t="n">
        <f aca="false">INDEX(Data!$B$3:$T$21,MATCH(C102,Data!$A$3:$A$21,0),MATCH(D102,Data!$B$2:$T$2,0))-INDEX(Data!$B$3:$T$21,MATCH(C102,Data!$A$3:$A$21,0),MATCH(D102-1,Data!$B$2:$T$2,0))</f>
        <v>0</v>
      </c>
      <c r="O102" s="9" t="n">
        <f aca="false">M102-N102</f>
        <v>19660.7668766877</v>
      </c>
      <c r="P102" s="8" t="n">
        <f aca="false">IF(K102&gt;=1,H102+I102,H102+I102*(L102-K102)/(1-K102))</f>
        <v>134700.766876688</v>
      </c>
      <c r="Q102" s="8" t="n">
        <f aca="false">INDEX(Data!$B$3:$T$21,MATCH(C102,Data!$A$3:$A$21,0),MATCH(D102,Data!$B$2:$T$2,0))</f>
        <v>115040</v>
      </c>
      <c r="R102" s="3" t="n">
        <f aca="false">IF(J102&gt;0,P102/J102,"")</f>
        <v>0.694706269735774</v>
      </c>
      <c r="S102" s="3" t="n">
        <f aca="false">IF(J102&gt;0,Q102/J102,"")</f>
        <v>0.593307752609646</v>
      </c>
      <c r="T102" s="6" t="n">
        <f aca="false">IF(J102&gt;0,R102-S102,"")</f>
        <v>0.101398517126128</v>
      </c>
      <c r="U102" s="1" t="s">
        <v>20</v>
      </c>
      <c r="V102" s="8" t="n">
        <f aca="false">ABS(O102)</f>
        <v>19660.7668766877</v>
      </c>
      <c r="W102" s="8" t="n">
        <f aca="false">O102^2</f>
        <v>386545754.179459</v>
      </c>
      <c r="X102" s="12" t="n">
        <f aca="false">IF(M102&gt;0,O102^2/M102,0)</f>
        <v>19660.7668766877</v>
      </c>
      <c r="Y102" s="8" t="n">
        <f aca="false">IF(V102&lt;=Metrics!$C$3,0.5*O102^2,Metrics!$C$3*(V102-0.5*Metrics!$C$3))</f>
        <v>146607668.766877</v>
      </c>
      <c r="Z102" s="8" t="n">
        <f aca="false">ABS(P102-Q102)</f>
        <v>19660.7668766876</v>
      </c>
      <c r="AA102" s="13" t="n">
        <f aca="false">IF(J102&gt;0,T102^2,0)</f>
        <v>0.0102816592753776</v>
      </c>
    </row>
    <row r="103" customFormat="false" ht="15" hidden="false" customHeight="false" outlineLevel="0" collapsed="false">
      <c r="A103" s="11" t="s">
        <v>63</v>
      </c>
      <c r="B103" s="11" t="n">
        <v>2024</v>
      </c>
      <c r="C103" s="11" t="n">
        <v>2022</v>
      </c>
      <c r="D103" s="11" t="n">
        <v>2025</v>
      </c>
      <c r="E103" s="1" t="n">
        <f aca="false">D103-B103</f>
        <v>1</v>
      </c>
      <c r="F103" s="1" t="n">
        <f aca="false">B103-C103+1</f>
        <v>3</v>
      </c>
      <c r="G103" s="1" t="n">
        <f aca="false">D103-C103+1</f>
        <v>4</v>
      </c>
      <c r="H103" s="8" t="n">
        <f aca="false">INDEX(Data!$B$3:$T$21,MATCH(C103,Data!$A$3:$A$21,0),MATCH(B103,Data!$B$2:$T$2,0))</f>
        <v>10620</v>
      </c>
      <c r="I103" s="8" t="n">
        <f aca="false">INDEX(Data!$B$25:$T$43,MATCH(C103,Data!$A$3:$A$21,0),MATCH(B103,Data!$B$2:$T$2,0))</f>
        <v>56028</v>
      </c>
      <c r="J103" s="8" t="n">
        <f aca="false">H103+I103</f>
        <v>66648</v>
      </c>
      <c r="K103" s="3" t="n">
        <f aca="false">INDEX('pattern input'!$B$2:$AO$5,MATCH(A103&amp;"_"&amp;B103,'pattern input'!$A$2:$A$5,0),F103)</f>
        <v>0.500510444466199</v>
      </c>
      <c r="L103" s="3" t="n">
        <f aca="false">INDEX('pattern input'!$B$2:$AO$5,MATCH(A103&amp;"_"&amp;B103,'pattern input'!$A$2:$A$5,0),G103)</f>
        <v>0.596713467971618</v>
      </c>
      <c r="M103" s="8" t="n">
        <f aca="false">IF(K103&gt;=1,0,I103*(L103-INDEX('pattern input'!$B$2:$AO$5,MATCH(A103&amp;"_"&amp;B103,'pattern input'!$A$2:$A$5,0),G103-1))/(1-K103))</f>
        <v>10791.1425599305</v>
      </c>
      <c r="N103" s="8" t="n">
        <f aca="false">INDEX(Data!$B$3:$T$21,MATCH(C103,Data!$A$3:$A$21,0),MATCH(D103,Data!$B$2:$T$2,0))-INDEX(Data!$B$3:$T$21,MATCH(C103,Data!$A$3:$A$21,0),MATCH(D103-1,Data!$B$2:$T$2,0))</f>
        <v>0</v>
      </c>
      <c r="O103" s="9" t="n">
        <f aca="false">M103-N103</f>
        <v>10791.1425599305</v>
      </c>
      <c r="P103" s="8" t="n">
        <f aca="false">IF(K103&gt;=1,H103+I103,H103+I103*(L103-K103)/(1-K103))</f>
        <v>21411.1425599305</v>
      </c>
      <c r="Q103" s="8" t="n">
        <f aca="false">INDEX(Data!$B$3:$T$21,MATCH(C103,Data!$A$3:$A$21,0),MATCH(D103,Data!$B$2:$T$2,0))</f>
        <v>10620</v>
      </c>
      <c r="R103" s="3" t="n">
        <f aca="false">IF(J103&gt;0,P103/J103,"")</f>
        <v>0.321257090384265</v>
      </c>
      <c r="S103" s="3" t="n">
        <f aca="false">IF(J103&gt;0,Q103/J103,"")</f>
        <v>0.159344616492618</v>
      </c>
      <c r="T103" s="6" t="n">
        <f aca="false">IF(J103&gt;0,R103-S103,"")</f>
        <v>0.161912473891647</v>
      </c>
      <c r="U103" s="1" t="s">
        <v>20</v>
      </c>
      <c r="V103" s="8" t="n">
        <f aca="false">ABS(O103)</f>
        <v>10791.1425599305</v>
      </c>
      <c r="W103" s="8" t="n">
        <f aca="false">O103^2</f>
        <v>116448757.748744</v>
      </c>
      <c r="X103" s="12" t="n">
        <f aca="false">IF(M103&gt;0,O103^2/M103,0)</f>
        <v>10791.1425599305</v>
      </c>
      <c r="Y103" s="8" t="n">
        <f aca="false">IF(V103&lt;=Metrics!$C$3,0.5*O103^2,Metrics!$C$3*(V103-0.5*Metrics!$C$3))</f>
        <v>57911425.5993052</v>
      </c>
      <c r="Z103" s="8" t="n">
        <f aca="false">ABS(P103-Q103)</f>
        <v>10791.1425599305</v>
      </c>
      <c r="AA103" s="13" t="n">
        <f aca="false">IF(J103&gt;0,T103^2,0)</f>
        <v>0.0262156492017134</v>
      </c>
    </row>
    <row r="104" customFormat="false" ht="15" hidden="false" customHeight="false" outlineLevel="0" collapsed="false">
      <c r="A104" s="11" t="s">
        <v>63</v>
      </c>
      <c r="B104" s="11" t="n">
        <v>2024</v>
      </c>
      <c r="C104" s="11" t="n">
        <v>2023</v>
      </c>
      <c r="D104" s="11" t="n">
        <v>2025</v>
      </c>
      <c r="E104" s="1" t="n">
        <f aca="false">D104-B104</f>
        <v>1</v>
      </c>
      <c r="F104" s="1" t="n">
        <f aca="false">B104-C104+1</f>
        <v>2</v>
      </c>
      <c r="G104" s="1" t="n">
        <f aca="false">D104-C104+1</f>
        <v>3</v>
      </c>
      <c r="H104" s="8" t="n">
        <f aca="false">INDEX(Data!$B$3:$T$21,MATCH(C104,Data!$A$3:$A$21,0),MATCH(B104,Data!$B$2:$T$2,0))</f>
        <v>40273</v>
      </c>
      <c r="I104" s="8" t="n">
        <f aca="false">INDEX(Data!$B$25:$T$43,MATCH(C104,Data!$A$3:$A$21,0),MATCH(B104,Data!$B$2:$T$2,0))</f>
        <v>132306</v>
      </c>
      <c r="J104" s="8" t="n">
        <f aca="false">H104+I104</f>
        <v>172579</v>
      </c>
      <c r="K104" s="3" t="n">
        <f aca="false">INDEX('pattern input'!$B$2:$AO$5,MATCH(A104&amp;"_"&amp;B104,'pattern input'!$A$2:$A$5,0),F104)</f>
        <v>0.384978523354072</v>
      </c>
      <c r="L104" s="3" t="n">
        <f aca="false">INDEX('pattern input'!$B$2:$AO$5,MATCH(A104&amp;"_"&amp;B104,'pattern input'!$A$2:$A$5,0),G104)</f>
        <v>0.500510444466199</v>
      </c>
      <c r="M104" s="8" t="n">
        <f aca="false">IF(K104&gt;=1,0,I104*(L104-INDEX('pattern input'!$B$2:$AO$5,MATCH(A104&amp;"_"&amp;B104,'pattern input'!$A$2:$A$5,0),G104-1))/(1-K104))</f>
        <v>24853.7115126812</v>
      </c>
      <c r="N104" s="8" t="n">
        <f aca="false">INDEX(Data!$B$3:$T$21,MATCH(C104,Data!$A$3:$A$21,0),MATCH(D104,Data!$B$2:$T$2,0))-INDEX(Data!$B$3:$T$21,MATCH(C104,Data!$A$3:$A$21,0),MATCH(D104-1,Data!$B$2:$T$2,0))</f>
        <v>0</v>
      </c>
      <c r="O104" s="9" t="n">
        <f aca="false">M104-N104</f>
        <v>24853.7115126812</v>
      </c>
      <c r="P104" s="8" t="n">
        <f aca="false">IF(K104&gt;=1,H104+I104,H104+I104*(L104-K104)/(1-K104))</f>
        <v>65126.7115126812</v>
      </c>
      <c r="Q104" s="8" t="n">
        <f aca="false">INDEX(Data!$B$3:$T$21,MATCH(C104,Data!$A$3:$A$21,0),MATCH(D104,Data!$B$2:$T$2,0))</f>
        <v>40273</v>
      </c>
      <c r="R104" s="3" t="n">
        <f aca="false">IF(J104&gt;0,P104/J104,"")</f>
        <v>0.377373327650996</v>
      </c>
      <c r="S104" s="3" t="n">
        <f aca="false">IF(J104&gt;0,Q104/J104,"")</f>
        <v>0.233359794644771</v>
      </c>
      <c r="T104" s="6" t="n">
        <f aca="false">IF(J104&gt;0,R104-S104,"")</f>
        <v>0.144013533006224</v>
      </c>
      <c r="U104" s="1" t="s">
        <v>20</v>
      </c>
      <c r="V104" s="8" t="n">
        <f aca="false">ABS(O104)</f>
        <v>24853.7115126812</v>
      </c>
      <c r="W104" s="8" t="n">
        <f aca="false">O104^2</f>
        <v>617706975.955582</v>
      </c>
      <c r="X104" s="12" t="n">
        <f aca="false">IF(M104&gt;0,O104^2/M104,0)</f>
        <v>24853.7115126812</v>
      </c>
      <c r="Y104" s="8" t="n">
        <f aca="false">IF(V104&lt;=Metrics!$C$3,0.5*O104^2,Metrics!$C$3*(V104-0.5*Metrics!$C$3))</f>
        <v>198537115.126812</v>
      </c>
      <c r="Z104" s="8" t="n">
        <f aca="false">ABS(P104-Q104)</f>
        <v>24853.7115126812</v>
      </c>
      <c r="AA104" s="13" t="n">
        <f aca="false">IF(J104&gt;0,T104^2,0)</f>
        <v>0.0207398976889349</v>
      </c>
    </row>
    <row r="105" customFormat="false" ht="15" hidden="false" customHeight="false" outlineLevel="0" collapsed="false">
      <c r="A105" s="11" t="s">
        <v>63</v>
      </c>
      <c r="B105" s="11" t="n">
        <v>2024</v>
      </c>
      <c r="C105" s="11" t="n">
        <v>2024</v>
      </c>
      <c r="D105" s="11" t="n">
        <v>2025</v>
      </c>
      <c r="E105" s="1" t="n">
        <f aca="false">D105-B105</f>
        <v>1</v>
      </c>
      <c r="F105" s="1" t="n">
        <f aca="false">B105-C105+1</f>
        <v>1</v>
      </c>
      <c r="G105" s="1" t="n">
        <f aca="false">D105-C105+1</f>
        <v>2</v>
      </c>
      <c r="H105" s="8" t="n">
        <f aca="false">INDEX(Data!$B$3:$T$21,MATCH(C105,Data!$A$3:$A$21,0),MATCH(B105,Data!$B$2:$T$2,0))</f>
        <v>5905</v>
      </c>
      <c r="I105" s="8" t="n">
        <f aca="false">INDEX(Data!$B$25:$T$43,MATCH(C105,Data!$A$3:$A$21,0),MATCH(B105,Data!$B$2:$T$2,0))</f>
        <v>1786</v>
      </c>
      <c r="J105" s="8" t="n">
        <f aca="false">H105+I105</f>
        <v>7691</v>
      </c>
      <c r="K105" s="3" t="n">
        <f aca="false">INDEX('pattern input'!$B$2:$AO$5,MATCH(A105&amp;"_"&amp;B105,'pattern input'!$A$2:$A$5,0),F105)</f>
        <v>0.1</v>
      </c>
      <c r="L105" s="3" t="n">
        <f aca="false">INDEX('pattern input'!$B$2:$AO$5,MATCH(A105&amp;"_"&amp;B105,'pattern input'!$A$2:$A$5,0),G105)</f>
        <v>0.384978523354072</v>
      </c>
      <c r="M105" s="8" t="n">
        <f aca="false">IF(K105&gt;=1,0,I105*(L105-INDEX('pattern input'!$B$2:$AO$5,MATCH(A105&amp;"_"&amp;B105,'pattern input'!$A$2:$A$5,0),G105-1))/(1-K105))</f>
        <v>565.52404745597</v>
      </c>
      <c r="N105" s="8" t="n">
        <f aca="false">INDEX(Data!$B$3:$T$21,MATCH(C105,Data!$A$3:$A$21,0),MATCH(D105,Data!$B$2:$T$2,0))-INDEX(Data!$B$3:$T$21,MATCH(C105,Data!$A$3:$A$21,0),MATCH(D105-1,Data!$B$2:$T$2,0))</f>
        <v>1</v>
      </c>
      <c r="O105" s="9" t="n">
        <f aca="false">M105-N105</f>
        <v>564.52404745597</v>
      </c>
      <c r="P105" s="8" t="n">
        <f aca="false">IF(K105&gt;=1,H105+I105,H105+I105*(L105-K105)/(1-K105))</f>
        <v>6470.52404745597</v>
      </c>
      <c r="Q105" s="8" t="n">
        <f aca="false">INDEX(Data!$B$3:$T$21,MATCH(C105,Data!$A$3:$A$21,0),MATCH(D105,Data!$B$2:$T$2,0))</f>
        <v>5906</v>
      </c>
      <c r="R105" s="3" t="n">
        <f aca="false">IF(J105&gt;0,P105/J105,"")</f>
        <v>0.841311149064617</v>
      </c>
      <c r="S105" s="3" t="n">
        <f aca="false">IF(J105&gt;0,Q105/J105,"")</f>
        <v>0.767910544792615</v>
      </c>
      <c r="T105" s="6" t="n">
        <f aca="false">IF(J105&gt;0,R105-S105,"")</f>
        <v>0.0734006042720022</v>
      </c>
      <c r="U105" s="1" t="s">
        <v>20</v>
      </c>
      <c r="V105" s="8" t="n">
        <f aca="false">ABS(O105)</f>
        <v>564.52404745597</v>
      </c>
      <c r="W105" s="8" t="n">
        <f aca="false">O105^2</f>
        <v>318687.40015607</v>
      </c>
      <c r="X105" s="12" t="n">
        <f aca="false">IF(M105&gt;0,O105^2/M105,0)</f>
        <v>563.525815727371</v>
      </c>
      <c r="Y105" s="8" t="n">
        <f aca="false">IF(V105&lt;=Metrics!$C$3,0.5*O105^2,Metrics!$C$3*(V105-0.5*Metrics!$C$3))</f>
        <v>159343.700078035</v>
      </c>
      <c r="Z105" s="8" t="n">
        <f aca="false">ABS(P105-Q105)</f>
        <v>564.52404745597</v>
      </c>
      <c r="AA105" s="13" t="n">
        <f aca="false">IF(J105&gt;0,T105^2,0)</f>
        <v>0.00538764870749507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2" t="s">
        <v>98</v>
      </c>
      <c r="B1" s="2" t="s">
        <v>99</v>
      </c>
      <c r="C1" s="2" t="s">
        <v>100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1" t="s">
        <v>101</v>
      </c>
      <c r="B2" s="14" t="n">
        <f aca="false">MAX(MAX(A7:V11),-MIN(A7:V11))</f>
        <v>-0</v>
      </c>
      <c r="C2" s="1" t="n">
        <f aca="false">COUNTIF(A7:V11,"TEXT DIFF")</f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 t="s">
        <v>102</v>
      </c>
      <c r="B3" s="14" t="n">
        <f aca="false">MAX(MAX(A15:V29),-MIN(A15:V29))</f>
        <v>-0</v>
      </c>
      <c r="C3" s="1" t="n">
        <f aca="false">COUNTIF(A15:V29,"TEXT DIFF")</f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 t="s">
        <v>103</v>
      </c>
      <c r="B4" s="14" t="n">
        <f aca="false">MAX(MAX(A33:F47),-MIN(A33:F47))</f>
        <v>-0</v>
      </c>
      <c r="C4" s="1" t="n">
        <f aca="false">COUNTIF(A33:F47,"TEXT DIFF")</f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15" hidden="false" customHeight="false" outlineLevel="0" collapsed="false">
      <c r="A6" s="2" t="s">
        <v>104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15" hidden="false" customHeight="false" outlineLevel="0" collapsed="false">
      <c r="A7" s="1" t="str">
        <f aca="false">IF(AND(ISNUMBER(Patterns!A1),ISNUMBER('python Patterns'!A1)),Patterns!A1-'python Patterns'!A1,IF(Patterns!A1&amp;""='python Patterns'!A1&amp;"","","TEXT DIFF"))</f>
        <v/>
      </c>
      <c r="B7" s="1" t="str">
        <f aca="false">IF(AND(ISNUMBER(Patterns!B1),ISNUMBER('python Patterns'!B1)),Patterns!B1-'python Patterns'!B1,IF(Patterns!B1&amp;""='python Patterns'!B1&amp;"","","TEXT DIFF"))</f>
        <v/>
      </c>
      <c r="C7" s="1" t="str">
        <f aca="false">IF(AND(ISNUMBER(Patterns!C1),ISNUMBER('python Patterns'!C1)),Patterns!C1-'python Patterns'!C1,IF(Patterns!C1&amp;""='python Patterns'!C1&amp;"","","TEXT DIFF"))</f>
        <v/>
      </c>
      <c r="D7" s="1" t="n">
        <f aca="false">IF(AND(ISNUMBER(Patterns!D1),ISNUMBER('python Patterns'!D1)),Patterns!D1-'python Patterns'!D1,IF(Patterns!D1&amp;""='python Patterns'!D1&amp;"","","TEXT DIFF"))</f>
        <v>0</v>
      </c>
      <c r="E7" s="1" t="n">
        <f aca="false">IF(AND(ISNUMBER(Patterns!E1),ISNUMBER('python Patterns'!E1)),Patterns!E1-'python Patterns'!E1,IF(Patterns!E1&amp;""='python Patterns'!E1&amp;"","","TEXT DIFF"))</f>
        <v>0</v>
      </c>
      <c r="F7" s="1" t="n">
        <f aca="false">IF(AND(ISNUMBER(Patterns!F1),ISNUMBER('python Patterns'!F1)),Patterns!F1-'python Patterns'!F1,IF(Patterns!F1&amp;""='python Patterns'!F1&amp;"","","TEXT DIFF"))</f>
        <v>0</v>
      </c>
      <c r="G7" s="1" t="n">
        <f aca="false">IF(AND(ISNUMBER(Patterns!G1),ISNUMBER('python Patterns'!G1)),Patterns!G1-'python Patterns'!G1,IF(Patterns!G1&amp;""='python Patterns'!G1&amp;"","","TEXT DIFF"))</f>
        <v>0</v>
      </c>
      <c r="H7" s="1" t="n">
        <f aca="false">IF(AND(ISNUMBER(Patterns!H1),ISNUMBER('python Patterns'!H1)),Patterns!H1-'python Patterns'!H1,IF(Patterns!H1&amp;""='python Patterns'!H1&amp;"","","TEXT DIFF"))</f>
        <v>0</v>
      </c>
      <c r="I7" s="1" t="n">
        <f aca="false">IF(AND(ISNUMBER(Patterns!I1),ISNUMBER('python Patterns'!I1)),Patterns!I1-'python Patterns'!I1,IF(Patterns!I1&amp;""='python Patterns'!I1&amp;"","","TEXT DIFF"))</f>
        <v>0</v>
      </c>
      <c r="J7" s="1" t="n">
        <f aca="false">IF(AND(ISNUMBER(Patterns!J1),ISNUMBER('python Patterns'!J1)),Patterns!J1-'python Patterns'!J1,IF(Patterns!J1&amp;""='python Patterns'!J1&amp;"","","TEXT DIFF"))</f>
        <v>0</v>
      </c>
      <c r="K7" s="1" t="n">
        <f aca="false">IF(AND(ISNUMBER(Patterns!K1),ISNUMBER('python Patterns'!K1)),Patterns!K1-'python Patterns'!K1,IF(Patterns!K1&amp;""='python Patterns'!K1&amp;"","","TEXT DIFF"))</f>
        <v>0</v>
      </c>
      <c r="L7" s="1" t="n">
        <f aca="false">IF(AND(ISNUMBER(Patterns!L1),ISNUMBER('python Patterns'!L1)),Patterns!L1-'python Patterns'!L1,IF(Patterns!L1&amp;""='python Patterns'!L1&amp;"","","TEXT DIFF"))</f>
        <v>0</v>
      </c>
      <c r="M7" s="1" t="n">
        <f aca="false">IF(AND(ISNUMBER(Patterns!M1),ISNUMBER('python Patterns'!M1)),Patterns!M1-'python Patterns'!M1,IF(Patterns!M1&amp;""='python Patterns'!M1&amp;"","","TEXT DIFF"))</f>
        <v>0</v>
      </c>
      <c r="N7" s="1" t="n">
        <f aca="false">IF(AND(ISNUMBER(Patterns!N1),ISNUMBER('python Patterns'!N1)),Patterns!N1-'python Patterns'!N1,IF(Patterns!N1&amp;""='python Patterns'!N1&amp;"","","TEXT DIFF"))</f>
        <v>0</v>
      </c>
      <c r="O7" s="1" t="n">
        <f aca="false">IF(AND(ISNUMBER(Patterns!O1),ISNUMBER('python Patterns'!O1)),Patterns!O1-'python Patterns'!O1,IF(Patterns!O1&amp;""='python Patterns'!O1&amp;"","","TEXT DIFF"))</f>
        <v>0</v>
      </c>
      <c r="P7" s="1" t="n">
        <f aca="false">IF(AND(ISNUMBER(Patterns!P1),ISNUMBER('python Patterns'!P1)),Patterns!P1-'python Patterns'!P1,IF(Patterns!P1&amp;""='python Patterns'!P1&amp;"","","TEXT DIFF"))</f>
        <v>0</v>
      </c>
      <c r="Q7" s="1" t="n">
        <f aca="false">IF(AND(ISNUMBER(Patterns!Q1),ISNUMBER('python Patterns'!Q1)),Patterns!Q1-'python Patterns'!Q1,IF(Patterns!Q1&amp;""='python Patterns'!Q1&amp;"","","TEXT DIFF"))</f>
        <v>0</v>
      </c>
      <c r="R7" s="1" t="n">
        <f aca="false">IF(AND(ISNUMBER(Patterns!R1),ISNUMBER('python Patterns'!R1)),Patterns!R1-'python Patterns'!R1,IF(Patterns!R1&amp;""='python Patterns'!R1&amp;"","","TEXT DIFF"))</f>
        <v>0</v>
      </c>
      <c r="S7" s="1" t="n">
        <f aca="false">IF(AND(ISNUMBER(Patterns!S1),ISNUMBER('python Patterns'!S1)),Patterns!S1-'python Patterns'!S1,IF(Patterns!S1&amp;""='python Patterns'!S1&amp;"","","TEXT DIFF"))</f>
        <v>0</v>
      </c>
      <c r="T7" s="1" t="n">
        <f aca="false">IF(AND(ISNUMBER(Patterns!T1),ISNUMBER('python Patterns'!T1)),Patterns!T1-'python Patterns'!T1,IF(Patterns!T1&amp;""='python Patterns'!T1&amp;"","","TEXT DIFF"))</f>
        <v>0</v>
      </c>
      <c r="U7" s="1" t="n">
        <f aca="false">IF(AND(ISNUMBER(Patterns!U1),ISNUMBER('python Patterns'!U1)),Patterns!U1-'python Patterns'!U1,IF(Patterns!U1&amp;""='python Patterns'!U1&amp;"","","TEXT DIFF"))</f>
        <v>0</v>
      </c>
      <c r="V7" s="1" t="n">
        <f aca="false">IF(AND(ISNUMBER(Patterns!V1),ISNUMBER('python Patterns'!V1)),Patterns!V1-'python Patterns'!V1,IF(Patterns!V1&amp;""='python Patterns'!V1&amp;"","","TEXT DIFF"))</f>
        <v>0</v>
      </c>
    </row>
    <row r="8" customFormat="false" ht="15" hidden="false" customHeight="false" outlineLevel="0" collapsed="false">
      <c r="A8" s="1" t="str">
        <f aca="false">IF(AND(ISNUMBER(Patterns!A2),ISNUMBER('python Patterns'!A2)),Patterns!A2-'python Patterns'!A2,IF(Patterns!A2&amp;""='python Patterns'!A2&amp;"","","TEXT DIFF"))</f>
        <v/>
      </c>
      <c r="B8" s="1" t="str">
        <f aca="false">IF(AND(ISNUMBER(Patterns!B2),ISNUMBER('python Patterns'!B2)),Patterns!B2-'python Patterns'!B2,IF(Patterns!B2&amp;""='python Patterns'!B2&amp;"","","TEXT DIFF"))</f>
        <v/>
      </c>
      <c r="C8" s="1" t="str">
        <f aca="false">IF(AND(ISNUMBER(Patterns!C2),ISNUMBER('python Patterns'!C2)),Patterns!C2-'python Patterns'!C2,IF(Patterns!C2&amp;""='python Patterns'!C2&amp;"","","TEXT DIFF"))</f>
        <v/>
      </c>
      <c r="D8" s="3" t="n">
        <f aca="false">IF(AND(ISNUMBER(Patterns!D2),ISNUMBER('python Patterns'!D2)),Patterns!D2-'python Patterns'!D2,IF(Patterns!D2&amp;""='python Patterns'!D2&amp;"","","TEXT DIFF"))</f>
        <v>0</v>
      </c>
      <c r="E8" s="3" t="n">
        <f aca="false">IF(AND(ISNUMBER(Patterns!E2),ISNUMBER('python Patterns'!E2)),Patterns!E2-'python Patterns'!E2,IF(Patterns!E2&amp;""='python Patterns'!E2&amp;"","","TEXT DIFF"))</f>
        <v>0</v>
      </c>
      <c r="F8" s="3" t="n">
        <f aca="false">IF(AND(ISNUMBER(Patterns!F2),ISNUMBER('python Patterns'!F2)),Patterns!F2-'python Patterns'!F2,IF(Patterns!F2&amp;""='python Patterns'!F2&amp;"","","TEXT DIFF"))</f>
        <v>0</v>
      </c>
      <c r="G8" s="3" t="n">
        <f aca="false">IF(AND(ISNUMBER(Patterns!G2),ISNUMBER('python Patterns'!G2)),Patterns!G2-'python Patterns'!G2,IF(Patterns!G2&amp;""='python Patterns'!G2&amp;"","","TEXT DIFF"))</f>
        <v>0</v>
      </c>
      <c r="H8" s="3" t="n">
        <f aca="false">IF(AND(ISNUMBER(Patterns!H2),ISNUMBER('python Patterns'!H2)),Patterns!H2-'python Patterns'!H2,IF(Patterns!H2&amp;""='python Patterns'!H2&amp;"","","TEXT DIFF"))</f>
        <v>0</v>
      </c>
      <c r="I8" s="3" t="n">
        <f aca="false">IF(AND(ISNUMBER(Patterns!I2),ISNUMBER('python Patterns'!I2)),Patterns!I2-'python Patterns'!I2,IF(Patterns!I2&amp;""='python Patterns'!I2&amp;"","","TEXT DIFF"))</f>
        <v>0</v>
      </c>
      <c r="J8" s="3" t="n">
        <f aca="false">IF(AND(ISNUMBER(Patterns!J2),ISNUMBER('python Patterns'!J2)),Patterns!J2-'python Patterns'!J2,IF(Patterns!J2&amp;""='python Patterns'!J2&amp;"","","TEXT DIFF"))</f>
        <v>0</v>
      </c>
      <c r="K8" s="3" t="n">
        <f aca="false">IF(AND(ISNUMBER(Patterns!K2),ISNUMBER('python Patterns'!K2)),Patterns!K2-'python Patterns'!K2,IF(Patterns!K2&amp;""='python Patterns'!K2&amp;"","","TEXT DIFF"))</f>
        <v>0</v>
      </c>
      <c r="L8" s="3" t="n">
        <f aca="false">IF(AND(ISNUMBER(Patterns!L2),ISNUMBER('python Patterns'!L2)),Patterns!L2-'python Patterns'!L2,IF(Patterns!L2&amp;""='python Patterns'!L2&amp;"","","TEXT DIFF"))</f>
        <v>0</v>
      </c>
      <c r="M8" s="3" t="n">
        <f aca="false">IF(AND(ISNUMBER(Patterns!M2),ISNUMBER('python Patterns'!M2)),Patterns!M2-'python Patterns'!M2,IF(Patterns!M2&amp;""='python Patterns'!M2&amp;"","","TEXT DIFF"))</f>
        <v>0</v>
      </c>
      <c r="N8" s="3" t="n">
        <f aca="false">IF(AND(ISNUMBER(Patterns!N2),ISNUMBER('python Patterns'!N2)),Patterns!N2-'python Patterns'!N2,IF(Patterns!N2&amp;""='python Patterns'!N2&amp;"","","TEXT DIFF"))</f>
        <v>0</v>
      </c>
      <c r="O8" s="3" t="n">
        <f aca="false">IF(AND(ISNUMBER(Patterns!O2),ISNUMBER('python Patterns'!O2)),Patterns!O2-'python Patterns'!O2,IF(Patterns!O2&amp;""='python Patterns'!O2&amp;"","","TEXT DIFF"))</f>
        <v>0</v>
      </c>
      <c r="P8" s="3" t="n">
        <f aca="false">IF(AND(ISNUMBER(Patterns!P2),ISNUMBER('python Patterns'!P2)),Patterns!P2-'python Patterns'!P2,IF(Patterns!P2&amp;""='python Patterns'!P2&amp;"","","TEXT DIFF"))</f>
        <v>0</v>
      </c>
      <c r="Q8" s="3" t="n">
        <f aca="false">IF(AND(ISNUMBER(Patterns!Q2),ISNUMBER('python Patterns'!Q2)),Patterns!Q2-'python Patterns'!Q2,IF(Patterns!Q2&amp;""='python Patterns'!Q2&amp;"","","TEXT DIFF"))</f>
        <v>0</v>
      </c>
      <c r="R8" s="3" t="n">
        <f aca="false">IF(AND(ISNUMBER(Patterns!R2),ISNUMBER('python Patterns'!R2)),Patterns!R2-'python Patterns'!R2,IF(Patterns!R2&amp;""='python Patterns'!R2&amp;"","","TEXT DIFF"))</f>
        <v>0</v>
      </c>
      <c r="S8" s="3" t="n">
        <f aca="false">IF(AND(ISNUMBER(Patterns!S2),ISNUMBER('python Patterns'!S2)),Patterns!S2-'python Patterns'!S2,IF(Patterns!S2&amp;""='python Patterns'!S2&amp;"","","TEXT DIFF"))</f>
        <v>0</v>
      </c>
      <c r="T8" s="3" t="n">
        <f aca="false">IF(AND(ISNUMBER(Patterns!T2),ISNUMBER('python Patterns'!T2)),Patterns!T2-'python Patterns'!T2,IF(Patterns!T2&amp;""='python Patterns'!T2&amp;"","","TEXT DIFF"))</f>
        <v>0</v>
      </c>
      <c r="U8" s="3" t="n">
        <f aca="false">IF(AND(ISNUMBER(Patterns!U2),ISNUMBER('python Patterns'!U2)),Patterns!U2-'python Patterns'!U2,IF(Patterns!U2&amp;""='python Patterns'!U2&amp;"","","TEXT DIFF"))</f>
        <v>0</v>
      </c>
      <c r="V8" s="1" t="str">
        <f aca="false">IF(AND(ISNUMBER(Patterns!V2),ISNUMBER('python Patterns'!V2)),Patterns!V2-'python Patterns'!V2,IF(Patterns!V2&amp;""='python Patterns'!V2&amp;"","","TEXT DIFF"))</f>
        <v/>
      </c>
    </row>
    <row r="9" customFormat="false" ht="15" hidden="false" customHeight="false" outlineLevel="0" collapsed="false">
      <c r="A9" s="1" t="str">
        <f aca="false">IF(AND(ISNUMBER(Patterns!A3),ISNUMBER('python Patterns'!A3)),Patterns!A3-'python Patterns'!A3,IF(Patterns!A3&amp;""='python Patterns'!A3&amp;"","","TEXT DIFF"))</f>
        <v/>
      </c>
      <c r="B9" s="1" t="str">
        <f aca="false">IF(AND(ISNUMBER(Patterns!B3),ISNUMBER('python Patterns'!B3)),Patterns!B3-'python Patterns'!B3,IF(Patterns!B3&amp;""='python Patterns'!B3&amp;"","","TEXT DIFF"))</f>
        <v/>
      </c>
      <c r="C9" s="1" t="str">
        <f aca="false">IF(AND(ISNUMBER(Patterns!C3),ISNUMBER('python Patterns'!C3)),Patterns!C3-'python Patterns'!C3,IF(Patterns!C3&amp;""='python Patterns'!C3&amp;"","","TEXT DIFF"))</f>
        <v/>
      </c>
      <c r="D9" s="3" t="n">
        <f aca="false">IF(AND(ISNUMBER(Patterns!D3),ISNUMBER('python Patterns'!D3)),Patterns!D3-'python Patterns'!D3,IF(Patterns!D3&amp;""='python Patterns'!D3&amp;"","","TEXT DIFF"))</f>
        <v>0</v>
      </c>
      <c r="E9" s="3" t="n">
        <f aca="false">IF(AND(ISNUMBER(Patterns!E3),ISNUMBER('python Patterns'!E3)),Patterns!E3-'python Patterns'!E3,IF(Patterns!E3&amp;""='python Patterns'!E3&amp;"","","TEXT DIFF"))</f>
        <v>0</v>
      </c>
      <c r="F9" s="3" t="n">
        <f aca="false">IF(AND(ISNUMBER(Patterns!F3),ISNUMBER('python Patterns'!F3)),Patterns!F3-'python Patterns'!F3,IF(Patterns!F3&amp;""='python Patterns'!F3&amp;"","","TEXT DIFF"))</f>
        <v>0</v>
      </c>
      <c r="G9" s="3" t="n">
        <f aca="false">IF(AND(ISNUMBER(Patterns!G3),ISNUMBER('python Patterns'!G3)),Patterns!G3-'python Patterns'!G3,IF(Patterns!G3&amp;""='python Patterns'!G3&amp;"","","TEXT DIFF"))</f>
        <v>0</v>
      </c>
      <c r="H9" s="3" t="n">
        <f aca="false">IF(AND(ISNUMBER(Patterns!H3),ISNUMBER('python Patterns'!H3)),Patterns!H3-'python Patterns'!H3,IF(Patterns!H3&amp;""='python Patterns'!H3&amp;"","","TEXT DIFF"))</f>
        <v>0</v>
      </c>
      <c r="I9" s="3" t="n">
        <f aca="false">IF(AND(ISNUMBER(Patterns!I3),ISNUMBER('python Patterns'!I3)),Patterns!I3-'python Patterns'!I3,IF(Patterns!I3&amp;""='python Patterns'!I3&amp;"","","TEXT DIFF"))</f>
        <v>0</v>
      </c>
      <c r="J9" s="3" t="n">
        <f aca="false">IF(AND(ISNUMBER(Patterns!J3),ISNUMBER('python Patterns'!J3)),Patterns!J3-'python Patterns'!J3,IF(Patterns!J3&amp;""='python Patterns'!J3&amp;"","","TEXT DIFF"))</f>
        <v>0</v>
      </c>
      <c r="K9" s="3" t="n">
        <f aca="false">IF(AND(ISNUMBER(Patterns!K3),ISNUMBER('python Patterns'!K3)),Patterns!K3-'python Patterns'!K3,IF(Patterns!K3&amp;""='python Patterns'!K3&amp;"","","TEXT DIFF"))</f>
        <v>0</v>
      </c>
      <c r="L9" s="3" t="n">
        <f aca="false">IF(AND(ISNUMBER(Patterns!L3),ISNUMBER('python Patterns'!L3)),Patterns!L3-'python Patterns'!L3,IF(Patterns!L3&amp;""='python Patterns'!L3&amp;"","","TEXT DIFF"))</f>
        <v>0</v>
      </c>
      <c r="M9" s="3" t="n">
        <f aca="false">IF(AND(ISNUMBER(Patterns!M3),ISNUMBER('python Patterns'!M3)),Patterns!M3-'python Patterns'!M3,IF(Patterns!M3&amp;""='python Patterns'!M3&amp;"","","TEXT DIFF"))</f>
        <v>0</v>
      </c>
      <c r="N9" s="3" t="n">
        <f aca="false">IF(AND(ISNUMBER(Patterns!N3),ISNUMBER('python Patterns'!N3)),Patterns!N3-'python Patterns'!N3,IF(Patterns!N3&amp;""='python Patterns'!N3&amp;"","","TEXT DIFF"))</f>
        <v>0</v>
      </c>
      <c r="O9" s="3" t="n">
        <f aca="false">IF(AND(ISNUMBER(Patterns!O3),ISNUMBER('python Patterns'!O3)),Patterns!O3-'python Patterns'!O3,IF(Patterns!O3&amp;""='python Patterns'!O3&amp;"","","TEXT DIFF"))</f>
        <v>0</v>
      </c>
      <c r="P9" s="3" t="n">
        <f aca="false">IF(AND(ISNUMBER(Patterns!P3),ISNUMBER('python Patterns'!P3)),Patterns!P3-'python Patterns'!P3,IF(Patterns!P3&amp;""='python Patterns'!P3&amp;"","","TEXT DIFF"))</f>
        <v>0</v>
      </c>
      <c r="Q9" s="3" t="n">
        <f aca="false">IF(AND(ISNUMBER(Patterns!Q3),ISNUMBER('python Patterns'!Q3)),Patterns!Q3-'python Patterns'!Q3,IF(Patterns!Q3&amp;""='python Patterns'!Q3&amp;"","","TEXT DIFF"))</f>
        <v>0</v>
      </c>
      <c r="R9" s="3" t="n">
        <f aca="false">IF(AND(ISNUMBER(Patterns!R3),ISNUMBER('python Patterns'!R3)),Patterns!R3-'python Patterns'!R3,IF(Patterns!R3&amp;""='python Patterns'!R3&amp;"","","TEXT DIFF"))</f>
        <v>0</v>
      </c>
      <c r="S9" s="3" t="n">
        <f aca="false">IF(AND(ISNUMBER(Patterns!S3),ISNUMBER('python Patterns'!S3)),Patterns!S3-'python Patterns'!S3,IF(Patterns!S3&amp;""='python Patterns'!S3&amp;"","","TEXT DIFF"))</f>
        <v>0</v>
      </c>
      <c r="T9" s="3" t="n">
        <f aca="false">IF(AND(ISNUMBER(Patterns!T3),ISNUMBER('python Patterns'!T3)),Patterns!T3-'python Patterns'!T3,IF(Patterns!T3&amp;""='python Patterns'!T3&amp;"","","TEXT DIFF"))</f>
        <v>0</v>
      </c>
      <c r="U9" s="3" t="n">
        <f aca="false">IF(AND(ISNUMBER(Patterns!U3),ISNUMBER('python Patterns'!U3)),Patterns!U3-'python Patterns'!U3,IF(Patterns!U3&amp;""='python Patterns'!U3&amp;"","","TEXT DIFF"))</f>
        <v>0</v>
      </c>
      <c r="V9" s="1" t="str">
        <f aca="false">IF(AND(ISNUMBER(Patterns!V3),ISNUMBER('python Patterns'!V3)),Patterns!V3-'python Patterns'!V3,IF(Patterns!V3&amp;""='python Patterns'!V3&amp;"","","TEXT DIFF"))</f>
        <v/>
      </c>
    </row>
    <row r="10" customFormat="false" ht="15" hidden="false" customHeight="false" outlineLevel="0" collapsed="false">
      <c r="A10" s="1" t="str">
        <f aca="false">IF(AND(ISNUMBER(Patterns!A4),ISNUMBER('python Patterns'!A4)),Patterns!A4-'python Patterns'!A4,IF(Patterns!A4&amp;""='python Patterns'!A4&amp;"","","TEXT DIFF"))</f>
        <v/>
      </c>
      <c r="B10" s="1" t="str">
        <f aca="false">IF(AND(ISNUMBER(Patterns!B4),ISNUMBER('python Patterns'!B4)),Patterns!B4-'python Patterns'!B4,IF(Patterns!B4&amp;""='python Patterns'!B4&amp;"","","TEXT DIFF"))</f>
        <v/>
      </c>
      <c r="C10" s="1" t="str">
        <f aca="false">IF(AND(ISNUMBER(Patterns!C4),ISNUMBER('python Patterns'!C4)),Patterns!C4-'python Patterns'!C4,IF(Patterns!C4&amp;""='python Patterns'!C4&amp;"","","TEXT DIFF"))</f>
        <v/>
      </c>
      <c r="D10" s="3" t="n">
        <f aca="false">IF(AND(ISNUMBER(Patterns!D4),ISNUMBER('python Patterns'!D4)),Patterns!D4-'python Patterns'!D4,IF(Patterns!D4&amp;""='python Patterns'!D4&amp;"","","TEXT DIFF"))</f>
        <v>0</v>
      </c>
      <c r="E10" s="3" t="n">
        <f aca="false">IF(AND(ISNUMBER(Patterns!E4),ISNUMBER('python Patterns'!E4)),Patterns!E4-'python Patterns'!E4,IF(Patterns!E4&amp;""='python Patterns'!E4&amp;"","","TEXT DIFF"))</f>
        <v>0</v>
      </c>
      <c r="F10" s="3" t="n">
        <f aca="false">IF(AND(ISNUMBER(Patterns!F4),ISNUMBER('python Patterns'!F4)),Patterns!F4-'python Patterns'!F4,IF(Patterns!F4&amp;""='python Patterns'!F4&amp;"","","TEXT DIFF"))</f>
        <v>0</v>
      </c>
      <c r="G10" s="3" t="n">
        <f aca="false">IF(AND(ISNUMBER(Patterns!G4),ISNUMBER('python Patterns'!G4)),Patterns!G4-'python Patterns'!G4,IF(Patterns!G4&amp;""='python Patterns'!G4&amp;"","","TEXT DIFF"))</f>
        <v>0</v>
      </c>
      <c r="H10" s="3" t="n">
        <f aca="false">IF(AND(ISNUMBER(Patterns!H4),ISNUMBER('python Patterns'!H4)),Patterns!H4-'python Patterns'!H4,IF(Patterns!H4&amp;""='python Patterns'!H4&amp;"","","TEXT DIFF"))</f>
        <v>0</v>
      </c>
      <c r="I10" s="3" t="n">
        <f aca="false">IF(AND(ISNUMBER(Patterns!I4),ISNUMBER('python Patterns'!I4)),Patterns!I4-'python Patterns'!I4,IF(Patterns!I4&amp;""='python Patterns'!I4&amp;"","","TEXT DIFF"))</f>
        <v>0</v>
      </c>
      <c r="J10" s="3" t="n">
        <f aca="false">IF(AND(ISNUMBER(Patterns!J4),ISNUMBER('python Patterns'!J4)),Patterns!J4-'python Patterns'!J4,IF(Patterns!J4&amp;""='python Patterns'!J4&amp;"","","TEXT DIFF"))</f>
        <v>0</v>
      </c>
      <c r="K10" s="3" t="n">
        <f aca="false">IF(AND(ISNUMBER(Patterns!K4),ISNUMBER('python Patterns'!K4)),Patterns!K4-'python Patterns'!K4,IF(Patterns!K4&amp;""='python Patterns'!K4&amp;"","","TEXT DIFF"))</f>
        <v>0</v>
      </c>
      <c r="L10" s="3" t="n">
        <f aca="false">IF(AND(ISNUMBER(Patterns!L4),ISNUMBER('python Patterns'!L4)),Patterns!L4-'python Patterns'!L4,IF(Patterns!L4&amp;""='python Patterns'!L4&amp;"","","TEXT DIFF"))</f>
        <v>0</v>
      </c>
      <c r="M10" s="3" t="n">
        <f aca="false">IF(AND(ISNUMBER(Patterns!M4),ISNUMBER('python Patterns'!M4)),Patterns!M4-'python Patterns'!M4,IF(Patterns!M4&amp;""='python Patterns'!M4&amp;"","","TEXT DIFF"))</f>
        <v>0</v>
      </c>
      <c r="N10" s="3" t="n">
        <f aca="false">IF(AND(ISNUMBER(Patterns!N4),ISNUMBER('python Patterns'!N4)),Patterns!N4-'python Patterns'!N4,IF(Patterns!N4&amp;""='python Patterns'!N4&amp;"","","TEXT DIFF"))</f>
        <v>0</v>
      </c>
      <c r="O10" s="3" t="n">
        <f aca="false">IF(AND(ISNUMBER(Patterns!O4),ISNUMBER('python Patterns'!O4)),Patterns!O4-'python Patterns'!O4,IF(Patterns!O4&amp;""='python Patterns'!O4&amp;"","","TEXT DIFF"))</f>
        <v>0</v>
      </c>
      <c r="P10" s="3" t="n">
        <f aca="false">IF(AND(ISNUMBER(Patterns!P4),ISNUMBER('python Patterns'!P4)),Patterns!P4-'python Patterns'!P4,IF(Patterns!P4&amp;""='python Patterns'!P4&amp;"","","TEXT DIFF"))</f>
        <v>0</v>
      </c>
      <c r="Q10" s="3" t="n">
        <f aca="false">IF(AND(ISNUMBER(Patterns!Q4),ISNUMBER('python Patterns'!Q4)),Patterns!Q4-'python Patterns'!Q4,IF(Patterns!Q4&amp;""='python Patterns'!Q4&amp;"","","TEXT DIFF"))</f>
        <v>0</v>
      </c>
      <c r="R10" s="3" t="n">
        <f aca="false">IF(AND(ISNUMBER(Patterns!R4),ISNUMBER('python Patterns'!R4)),Patterns!R4-'python Patterns'!R4,IF(Patterns!R4&amp;""='python Patterns'!R4&amp;"","","TEXT DIFF"))</f>
        <v>0</v>
      </c>
      <c r="S10" s="3" t="n">
        <f aca="false">IF(AND(ISNUMBER(Patterns!S4),ISNUMBER('python Patterns'!S4)),Patterns!S4-'python Patterns'!S4,IF(Patterns!S4&amp;""='python Patterns'!S4&amp;"","","TEXT DIFF"))</f>
        <v>0</v>
      </c>
      <c r="T10" s="3" t="n">
        <f aca="false">IF(AND(ISNUMBER(Patterns!T4),ISNUMBER('python Patterns'!T4)),Patterns!T4-'python Patterns'!T4,IF(Patterns!T4&amp;""='python Patterns'!T4&amp;"","","TEXT DIFF"))</f>
        <v>0</v>
      </c>
      <c r="U10" s="3" t="n">
        <f aca="false">IF(AND(ISNUMBER(Patterns!U4),ISNUMBER('python Patterns'!U4)),Patterns!U4-'python Patterns'!U4,IF(Patterns!U4&amp;""='python Patterns'!U4&amp;"","","TEXT DIFF"))</f>
        <v>0</v>
      </c>
      <c r="V10" s="3" t="n">
        <f aca="false">IF(AND(ISNUMBER(Patterns!V4),ISNUMBER('python Patterns'!V4)),Patterns!V4-'python Patterns'!V4,IF(Patterns!V4&amp;""='python Patterns'!V4&amp;"","","TEXT DIFF"))</f>
        <v>0</v>
      </c>
    </row>
    <row r="11" customFormat="false" ht="15" hidden="false" customHeight="false" outlineLevel="0" collapsed="false">
      <c r="A11" s="1" t="str">
        <f aca="false">IF(AND(ISNUMBER(Patterns!A5),ISNUMBER('python Patterns'!A5)),Patterns!A5-'python Patterns'!A5,IF(Patterns!A5&amp;""='python Patterns'!A5&amp;"","","TEXT DIFF"))</f>
        <v/>
      </c>
      <c r="B11" s="1" t="str">
        <f aca="false">IF(AND(ISNUMBER(Patterns!B5),ISNUMBER('python Patterns'!B5)),Patterns!B5-'python Patterns'!B5,IF(Patterns!B5&amp;""='python Patterns'!B5&amp;"","","TEXT DIFF"))</f>
        <v/>
      </c>
      <c r="C11" s="1" t="str">
        <f aca="false">IF(AND(ISNUMBER(Patterns!C5),ISNUMBER('python Patterns'!C5)),Patterns!C5-'python Patterns'!C5,IF(Patterns!C5&amp;""='python Patterns'!C5&amp;"","","TEXT DIFF"))</f>
        <v/>
      </c>
      <c r="D11" s="3" t="n">
        <f aca="false">IF(AND(ISNUMBER(Patterns!D5),ISNUMBER('python Patterns'!D5)),Patterns!D5-'python Patterns'!D5,IF(Patterns!D5&amp;""='python Patterns'!D5&amp;"","","TEXT DIFF"))</f>
        <v>0</v>
      </c>
      <c r="E11" s="3" t="n">
        <f aca="false">IF(AND(ISNUMBER(Patterns!E5),ISNUMBER('python Patterns'!E5)),Patterns!E5-'python Patterns'!E5,IF(Patterns!E5&amp;""='python Patterns'!E5&amp;"","","TEXT DIFF"))</f>
        <v>0</v>
      </c>
      <c r="F11" s="3" t="n">
        <f aca="false">IF(AND(ISNUMBER(Patterns!F5),ISNUMBER('python Patterns'!F5)),Patterns!F5-'python Patterns'!F5,IF(Patterns!F5&amp;""='python Patterns'!F5&amp;"","","TEXT DIFF"))</f>
        <v>0</v>
      </c>
      <c r="G11" s="3" t="n">
        <f aca="false">IF(AND(ISNUMBER(Patterns!G5),ISNUMBER('python Patterns'!G5)),Patterns!G5-'python Patterns'!G5,IF(Patterns!G5&amp;""='python Patterns'!G5&amp;"","","TEXT DIFF"))</f>
        <v>0</v>
      </c>
      <c r="H11" s="3" t="n">
        <f aca="false">IF(AND(ISNUMBER(Patterns!H5),ISNUMBER('python Patterns'!H5)),Patterns!H5-'python Patterns'!H5,IF(Patterns!H5&amp;""='python Patterns'!H5&amp;"","","TEXT DIFF"))</f>
        <v>0</v>
      </c>
      <c r="I11" s="3" t="n">
        <f aca="false">IF(AND(ISNUMBER(Patterns!I5),ISNUMBER('python Patterns'!I5)),Patterns!I5-'python Patterns'!I5,IF(Patterns!I5&amp;""='python Patterns'!I5&amp;"","","TEXT DIFF"))</f>
        <v>0</v>
      </c>
      <c r="J11" s="3" t="n">
        <f aca="false">IF(AND(ISNUMBER(Patterns!J5),ISNUMBER('python Patterns'!J5)),Patterns!J5-'python Patterns'!J5,IF(Patterns!J5&amp;""='python Patterns'!J5&amp;"","","TEXT DIFF"))</f>
        <v>0</v>
      </c>
      <c r="K11" s="3" t="n">
        <f aca="false">IF(AND(ISNUMBER(Patterns!K5),ISNUMBER('python Patterns'!K5)),Patterns!K5-'python Patterns'!K5,IF(Patterns!K5&amp;""='python Patterns'!K5&amp;"","","TEXT DIFF"))</f>
        <v>0</v>
      </c>
      <c r="L11" s="3" t="n">
        <f aca="false">IF(AND(ISNUMBER(Patterns!L5),ISNUMBER('python Patterns'!L5)),Patterns!L5-'python Patterns'!L5,IF(Patterns!L5&amp;""='python Patterns'!L5&amp;"","","TEXT DIFF"))</f>
        <v>0</v>
      </c>
      <c r="M11" s="3" t="n">
        <f aca="false">IF(AND(ISNUMBER(Patterns!M5),ISNUMBER('python Patterns'!M5)),Patterns!M5-'python Patterns'!M5,IF(Patterns!M5&amp;""='python Patterns'!M5&amp;"","","TEXT DIFF"))</f>
        <v>0</v>
      </c>
      <c r="N11" s="3" t="n">
        <f aca="false">IF(AND(ISNUMBER(Patterns!N5),ISNUMBER('python Patterns'!N5)),Patterns!N5-'python Patterns'!N5,IF(Patterns!N5&amp;""='python Patterns'!N5&amp;"","","TEXT DIFF"))</f>
        <v>0</v>
      </c>
      <c r="O11" s="3" t="n">
        <f aca="false">IF(AND(ISNUMBER(Patterns!O5),ISNUMBER('python Patterns'!O5)),Patterns!O5-'python Patterns'!O5,IF(Patterns!O5&amp;""='python Patterns'!O5&amp;"","","TEXT DIFF"))</f>
        <v>0</v>
      </c>
      <c r="P11" s="3" t="n">
        <f aca="false">IF(AND(ISNUMBER(Patterns!P5),ISNUMBER('python Patterns'!P5)),Patterns!P5-'python Patterns'!P5,IF(Patterns!P5&amp;""='python Patterns'!P5&amp;"","","TEXT DIFF"))</f>
        <v>0</v>
      </c>
      <c r="Q11" s="3" t="n">
        <f aca="false">IF(AND(ISNUMBER(Patterns!Q5),ISNUMBER('python Patterns'!Q5)),Patterns!Q5-'python Patterns'!Q5,IF(Patterns!Q5&amp;""='python Patterns'!Q5&amp;"","","TEXT DIFF"))</f>
        <v>0</v>
      </c>
      <c r="R11" s="3" t="n">
        <f aca="false">IF(AND(ISNUMBER(Patterns!R5),ISNUMBER('python Patterns'!R5)),Patterns!R5-'python Patterns'!R5,IF(Patterns!R5&amp;""='python Patterns'!R5&amp;"","","TEXT DIFF"))</f>
        <v>0</v>
      </c>
      <c r="S11" s="3" t="n">
        <f aca="false">IF(AND(ISNUMBER(Patterns!S5),ISNUMBER('python Patterns'!S5)),Patterns!S5-'python Patterns'!S5,IF(Patterns!S5&amp;""='python Patterns'!S5&amp;"","","TEXT DIFF"))</f>
        <v>0</v>
      </c>
      <c r="T11" s="3" t="n">
        <f aca="false">IF(AND(ISNUMBER(Patterns!T5),ISNUMBER('python Patterns'!T5)),Patterns!T5-'python Patterns'!T5,IF(Patterns!T5&amp;""='python Patterns'!T5&amp;"","","TEXT DIFF"))</f>
        <v>0</v>
      </c>
      <c r="U11" s="3" t="n">
        <f aca="false">IF(AND(ISNUMBER(Patterns!U5),ISNUMBER('python Patterns'!U5)),Patterns!U5-'python Patterns'!U5,IF(Patterns!U5&amp;""='python Patterns'!U5&amp;"","","TEXT DIFF"))</f>
        <v>0</v>
      </c>
      <c r="V11" s="3" t="n">
        <f aca="false">IF(AND(ISNUMBER(Patterns!V5),ISNUMBER('python Patterns'!V5)),Patterns!V5-'python Patterns'!V5,IF(Patterns!V5&amp;""='python Patterns'!V5&amp;"","","TEXT DIFF"))</f>
        <v>0</v>
      </c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15" hidden="false" customHeight="false" outlineLevel="0" collapsed="false">
      <c r="A14" s="2" t="s">
        <v>105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customFormat="false" ht="15" hidden="false" customHeight="false" outlineLevel="0" collapsed="false">
      <c r="A15" s="1" t="str">
        <f aca="false">IF(AND(ISNUMBER('Backtest by tenor'!A1),ISNUMBER('python Backtest by tenor'!A1)),'Backtest by tenor'!A1-'python Backtest by tenor'!A1,IF('Backtest by tenor'!A1&amp;""='python Backtest by tenor'!A1&amp;"","","TEXT DIFF"))</f>
        <v/>
      </c>
      <c r="B15" s="1" t="str">
        <f aca="false">IF(AND(ISNUMBER('Backtest by tenor'!B1),ISNUMBER('python Backtest by tenor'!B1)),'Backtest by tenor'!B1-'python Backtest by tenor'!B1,IF('Backtest by tenor'!B1&amp;""='python Backtest by tenor'!B1&amp;"","","TEXT DIFF"))</f>
        <v/>
      </c>
      <c r="C15" s="1" t="str">
        <f aca="false">IF(AND(ISNUMBER('Backtest by tenor'!C1),ISNUMBER('python Backtest by tenor'!C1)),'Backtest by tenor'!C1-'python Backtest by tenor'!C1,IF('Backtest by tenor'!C1&amp;""='python Backtest by tenor'!C1&amp;"","","TEXT DIFF"))</f>
        <v/>
      </c>
      <c r="D15" s="1" t="n">
        <f aca="false">IF(AND(ISNUMBER('Backtest by tenor'!D1),ISNUMBER('python Backtest by tenor'!D1)),'Backtest by tenor'!D1-'python Backtest by tenor'!D1,IF('Backtest by tenor'!D1&amp;""='python Backtest by tenor'!D1&amp;"","","TEXT DIFF"))</f>
        <v>0</v>
      </c>
      <c r="E15" s="1" t="n">
        <f aca="false">IF(AND(ISNUMBER('Backtest by tenor'!E1),ISNUMBER('python Backtest by tenor'!E1)),'Backtest by tenor'!E1-'python Backtest by tenor'!E1,IF('Backtest by tenor'!E1&amp;""='python Backtest by tenor'!E1&amp;"","","TEXT DIFF"))</f>
        <v>0</v>
      </c>
      <c r="F15" s="1" t="n">
        <f aca="false">IF(AND(ISNUMBER('Backtest by tenor'!F1),ISNUMBER('python Backtest by tenor'!F1)),'Backtest by tenor'!F1-'python Backtest by tenor'!F1,IF('Backtest by tenor'!F1&amp;""='python Backtest by tenor'!F1&amp;"","","TEXT DIFF"))</f>
        <v>0</v>
      </c>
      <c r="G15" s="1" t="n">
        <f aca="false">IF(AND(ISNUMBER('Backtest by tenor'!G1),ISNUMBER('python Backtest by tenor'!G1)),'Backtest by tenor'!G1-'python Backtest by tenor'!G1,IF('Backtest by tenor'!G1&amp;""='python Backtest by tenor'!G1&amp;"","","TEXT DIFF"))</f>
        <v>0</v>
      </c>
      <c r="H15" s="1" t="n">
        <f aca="false">IF(AND(ISNUMBER('Backtest by tenor'!H1),ISNUMBER('python Backtest by tenor'!H1)),'Backtest by tenor'!H1-'python Backtest by tenor'!H1,IF('Backtest by tenor'!H1&amp;""='python Backtest by tenor'!H1&amp;"","","TEXT DIFF"))</f>
        <v>0</v>
      </c>
      <c r="I15" s="1" t="n">
        <f aca="false">IF(AND(ISNUMBER('Backtest by tenor'!I1),ISNUMBER('python Backtest by tenor'!I1)),'Backtest by tenor'!I1-'python Backtest by tenor'!I1,IF('Backtest by tenor'!I1&amp;""='python Backtest by tenor'!I1&amp;"","","TEXT DIFF"))</f>
        <v>0</v>
      </c>
      <c r="J15" s="1" t="n">
        <f aca="false">IF(AND(ISNUMBER('Backtest by tenor'!J1),ISNUMBER('python Backtest by tenor'!J1)),'Backtest by tenor'!J1-'python Backtest by tenor'!J1,IF('Backtest by tenor'!J1&amp;""='python Backtest by tenor'!J1&amp;"","","TEXT DIFF"))</f>
        <v>0</v>
      </c>
      <c r="K15" s="1" t="n">
        <f aca="false">IF(AND(ISNUMBER('Backtest by tenor'!K1),ISNUMBER('python Backtest by tenor'!K1)),'Backtest by tenor'!K1-'python Backtest by tenor'!K1,IF('Backtest by tenor'!K1&amp;""='python Backtest by tenor'!K1&amp;"","","TEXT DIFF"))</f>
        <v>0</v>
      </c>
      <c r="L15" s="1" t="n">
        <f aca="false">IF(AND(ISNUMBER('Backtest by tenor'!L1),ISNUMBER('python Backtest by tenor'!L1)),'Backtest by tenor'!L1-'python Backtest by tenor'!L1,IF('Backtest by tenor'!L1&amp;""='python Backtest by tenor'!L1&amp;"","","TEXT DIFF"))</f>
        <v>0</v>
      </c>
      <c r="M15" s="1" t="n">
        <f aca="false">IF(AND(ISNUMBER('Backtest by tenor'!M1),ISNUMBER('python Backtest by tenor'!M1)),'Backtest by tenor'!M1-'python Backtest by tenor'!M1,IF('Backtest by tenor'!M1&amp;""='python Backtest by tenor'!M1&amp;"","","TEXT DIFF"))</f>
        <v>0</v>
      </c>
      <c r="N15" s="1" t="n">
        <f aca="false">IF(AND(ISNUMBER('Backtest by tenor'!N1),ISNUMBER('python Backtest by tenor'!N1)),'Backtest by tenor'!N1-'python Backtest by tenor'!N1,IF('Backtest by tenor'!N1&amp;""='python Backtest by tenor'!N1&amp;"","","TEXT DIFF"))</f>
        <v>0</v>
      </c>
      <c r="O15" s="1" t="n">
        <f aca="false">IF(AND(ISNUMBER('Backtest by tenor'!O1),ISNUMBER('python Backtest by tenor'!O1)),'Backtest by tenor'!O1-'python Backtest by tenor'!O1,IF('Backtest by tenor'!O1&amp;""='python Backtest by tenor'!O1&amp;"","","TEXT DIFF"))</f>
        <v>0</v>
      </c>
      <c r="P15" s="1" t="n">
        <f aca="false">IF(AND(ISNUMBER('Backtest by tenor'!P1),ISNUMBER('python Backtest by tenor'!P1)),'Backtest by tenor'!P1-'python Backtest by tenor'!P1,IF('Backtest by tenor'!P1&amp;""='python Backtest by tenor'!P1&amp;"","","TEXT DIFF"))</f>
        <v>0</v>
      </c>
      <c r="Q15" s="1" t="n">
        <f aca="false">IF(AND(ISNUMBER('Backtest by tenor'!Q1),ISNUMBER('python Backtest by tenor'!Q1)),'Backtest by tenor'!Q1-'python Backtest by tenor'!Q1,IF('Backtest by tenor'!Q1&amp;""='python Backtest by tenor'!Q1&amp;"","","TEXT DIFF"))</f>
        <v>0</v>
      </c>
      <c r="R15" s="1" t="n">
        <f aca="false">IF(AND(ISNUMBER('Backtest by tenor'!R1),ISNUMBER('python Backtest by tenor'!R1)),'Backtest by tenor'!R1-'python Backtest by tenor'!R1,IF('Backtest by tenor'!R1&amp;""='python Backtest by tenor'!R1&amp;"","","TEXT DIFF"))</f>
        <v>0</v>
      </c>
      <c r="S15" s="1" t="n">
        <f aca="false">IF(AND(ISNUMBER('Backtest by tenor'!S1),ISNUMBER('python Backtest by tenor'!S1)),'Backtest by tenor'!S1-'python Backtest by tenor'!S1,IF('Backtest by tenor'!S1&amp;""='python Backtest by tenor'!S1&amp;"","","TEXT DIFF"))</f>
        <v>0</v>
      </c>
      <c r="T15" s="1" t="n">
        <f aca="false">IF(AND(ISNUMBER('Backtest by tenor'!T1),ISNUMBER('python Backtest by tenor'!T1)),'Backtest by tenor'!T1-'python Backtest by tenor'!T1,IF('Backtest by tenor'!T1&amp;""='python Backtest by tenor'!T1&amp;"","","TEXT DIFF"))</f>
        <v>0</v>
      </c>
      <c r="U15" s="1" t="n">
        <f aca="false">IF(AND(ISNUMBER('Backtest by tenor'!U1),ISNUMBER('python Backtest by tenor'!U1)),'Backtest by tenor'!U1-'python Backtest by tenor'!U1,IF('Backtest by tenor'!U1&amp;""='python Backtest by tenor'!U1&amp;"","","TEXT DIFF"))</f>
        <v>0</v>
      </c>
      <c r="V15" s="1" t="n">
        <f aca="false">IF(AND(ISNUMBER('Backtest by tenor'!V1),ISNUMBER('python Backtest by tenor'!V1)),'Backtest by tenor'!V1-'python Backtest by tenor'!V1,IF('Backtest by tenor'!V1&amp;""='python Backtest by tenor'!V1&amp;"","","TEXT DIFF"))</f>
        <v>0</v>
      </c>
    </row>
    <row r="16" customFormat="false" ht="15" hidden="false" customHeight="false" outlineLevel="0" collapsed="false">
      <c r="A16" s="1" t="str">
        <f aca="false">IF(AND(ISNUMBER('Backtest by tenor'!A2),ISNUMBER('python Backtest by tenor'!A2)),'Backtest by tenor'!A2-'python Backtest by tenor'!A2,IF('Backtest by tenor'!A2&amp;""='python Backtest by tenor'!A2&amp;"","","TEXT DIFF"))</f>
        <v/>
      </c>
      <c r="B16" s="1" t="str">
        <f aca="false">IF(AND(ISNUMBER('Backtest by tenor'!B2),ISNUMBER('python Backtest by tenor'!B2)),'Backtest by tenor'!B2-'python Backtest by tenor'!B2,IF('Backtest by tenor'!B2&amp;""='python Backtest by tenor'!B2&amp;"","","TEXT DIFF"))</f>
        <v/>
      </c>
      <c r="C16" s="1" t="str">
        <f aca="false">IF(AND(ISNUMBER('Backtest by tenor'!C2),ISNUMBER('python Backtest by tenor'!C2)),'Backtest by tenor'!C2-'python Backtest by tenor'!C2,IF('Backtest by tenor'!C2&amp;""='python Backtest by tenor'!C2&amp;"","","TEXT DIFF"))</f>
        <v/>
      </c>
      <c r="D16" s="1" t="str">
        <f aca="false">IF(AND(ISNUMBER('Backtest by tenor'!D2),ISNUMBER('python Backtest by tenor'!D2)),'Backtest by tenor'!D2-'python Backtest by tenor'!D2,IF('Backtest by tenor'!D2&amp;""='python Backtest by tenor'!D2&amp;"","","TEXT DIFF"))</f>
        <v/>
      </c>
      <c r="E16" s="3" t="n">
        <f aca="false">IF(AND(ISNUMBER('Backtest by tenor'!E2),ISNUMBER('python Backtest by tenor'!E2)),'Backtest by tenor'!E2-'python Backtest by tenor'!E2,IF('Backtest by tenor'!E2&amp;""='python Backtest by tenor'!E2&amp;"","","TEXT DIFF"))</f>
        <v>0</v>
      </c>
      <c r="F16" s="3" t="n">
        <f aca="false">IF(AND(ISNUMBER('Backtest by tenor'!F2),ISNUMBER('python Backtest by tenor'!F2)),'Backtest by tenor'!F2-'python Backtest by tenor'!F2,IF('Backtest by tenor'!F2&amp;""='python Backtest by tenor'!F2&amp;"","","TEXT DIFF"))</f>
        <v>0</v>
      </c>
      <c r="G16" s="3" t="n">
        <f aca="false">IF(AND(ISNUMBER('Backtest by tenor'!G2),ISNUMBER('python Backtest by tenor'!G2)),'Backtest by tenor'!G2-'python Backtest by tenor'!G2,IF('Backtest by tenor'!G2&amp;""='python Backtest by tenor'!G2&amp;"","","TEXT DIFF"))</f>
        <v>0</v>
      </c>
      <c r="H16" s="3" t="n">
        <f aca="false">IF(AND(ISNUMBER('Backtest by tenor'!H2),ISNUMBER('python Backtest by tenor'!H2)),'Backtest by tenor'!H2-'python Backtest by tenor'!H2,IF('Backtest by tenor'!H2&amp;""='python Backtest by tenor'!H2&amp;"","","TEXT DIFF"))</f>
        <v>0</v>
      </c>
      <c r="I16" s="3" t="n">
        <f aca="false">IF(AND(ISNUMBER('Backtest by tenor'!I2),ISNUMBER('python Backtest by tenor'!I2)),'Backtest by tenor'!I2-'python Backtest by tenor'!I2,IF('Backtest by tenor'!I2&amp;""='python Backtest by tenor'!I2&amp;"","","TEXT DIFF"))</f>
        <v>0</v>
      </c>
      <c r="J16" s="3" t="n">
        <f aca="false">IF(AND(ISNUMBER('Backtest by tenor'!J2),ISNUMBER('python Backtest by tenor'!J2)),'Backtest by tenor'!J2-'python Backtest by tenor'!J2,IF('Backtest by tenor'!J2&amp;""='python Backtest by tenor'!J2&amp;"","","TEXT DIFF"))</f>
        <v>0</v>
      </c>
      <c r="K16" s="3" t="n">
        <f aca="false">IF(AND(ISNUMBER('Backtest by tenor'!K2),ISNUMBER('python Backtest by tenor'!K2)),'Backtest by tenor'!K2-'python Backtest by tenor'!K2,IF('Backtest by tenor'!K2&amp;""='python Backtest by tenor'!K2&amp;"","","TEXT DIFF"))</f>
        <v>0</v>
      </c>
      <c r="L16" s="3" t="n">
        <f aca="false">IF(AND(ISNUMBER('Backtest by tenor'!L2),ISNUMBER('python Backtest by tenor'!L2)),'Backtest by tenor'!L2-'python Backtest by tenor'!L2,IF('Backtest by tenor'!L2&amp;""='python Backtest by tenor'!L2&amp;"","","TEXT DIFF"))</f>
        <v>0</v>
      </c>
      <c r="M16" s="3" t="n">
        <f aca="false">IF(AND(ISNUMBER('Backtest by tenor'!M2),ISNUMBER('python Backtest by tenor'!M2)),'Backtest by tenor'!M2-'python Backtest by tenor'!M2,IF('Backtest by tenor'!M2&amp;""='python Backtest by tenor'!M2&amp;"","","TEXT DIFF"))</f>
        <v>0</v>
      </c>
      <c r="N16" s="3" t="n">
        <f aca="false">IF(AND(ISNUMBER('Backtest by tenor'!N2),ISNUMBER('python Backtest by tenor'!N2)),'Backtest by tenor'!N2-'python Backtest by tenor'!N2,IF('Backtest by tenor'!N2&amp;""='python Backtest by tenor'!N2&amp;"","","TEXT DIFF"))</f>
        <v>0</v>
      </c>
      <c r="O16" s="3" t="n">
        <f aca="false">IF(AND(ISNUMBER('Backtest by tenor'!O2),ISNUMBER('python Backtest by tenor'!O2)),'Backtest by tenor'!O2-'python Backtest by tenor'!O2,IF('Backtest by tenor'!O2&amp;""='python Backtest by tenor'!O2&amp;"","","TEXT DIFF"))</f>
        <v>0</v>
      </c>
      <c r="P16" s="3" t="n">
        <f aca="false">IF(AND(ISNUMBER('Backtest by tenor'!P2),ISNUMBER('python Backtest by tenor'!P2)),'Backtest by tenor'!P2-'python Backtest by tenor'!P2,IF('Backtest by tenor'!P2&amp;""='python Backtest by tenor'!P2&amp;"","","TEXT DIFF"))</f>
        <v>0</v>
      </c>
      <c r="Q16" s="3" t="n">
        <f aca="false">IF(AND(ISNUMBER('Backtest by tenor'!Q2),ISNUMBER('python Backtest by tenor'!Q2)),'Backtest by tenor'!Q2-'python Backtest by tenor'!Q2,IF('Backtest by tenor'!Q2&amp;""='python Backtest by tenor'!Q2&amp;"","","TEXT DIFF"))</f>
        <v>0</v>
      </c>
      <c r="R16" s="3" t="n">
        <f aca="false">IF(AND(ISNUMBER('Backtest by tenor'!R2),ISNUMBER('python Backtest by tenor'!R2)),'Backtest by tenor'!R2-'python Backtest by tenor'!R2,IF('Backtest by tenor'!R2&amp;""='python Backtest by tenor'!R2&amp;"","","TEXT DIFF"))</f>
        <v>0</v>
      </c>
      <c r="S16" s="3" t="n">
        <f aca="false">IF(AND(ISNUMBER('Backtest by tenor'!S2),ISNUMBER('python Backtest by tenor'!S2)),'Backtest by tenor'!S2-'python Backtest by tenor'!S2,IF('Backtest by tenor'!S2&amp;""='python Backtest by tenor'!S2&amp;"","","TEXT DIFF"))</f>
        <v>0</v>
      </c>
      <c r="T16" s="3" t="n">
        <f aca="false">IF(AND(ISNUMBER('Backtest by tenor'!T2),ISNUMBER('python Backtest by tenor'!T2)),'Backtest by tenor'!T2-'python Backtest by tenor'!T2,IF('Backtest by tenor'!T2&amp;""='python Backtest by tenor'!T2&amp;"","","TEXT DIFF"))</f>
        <v>0</v>
      </c>
      <c r="U16" s="3" t="n">
        <f aca="false">IF(AND(ISNUMBER('Backtest by tenor'!U2),ISNUMBER('python Backtest by tenor'!U2)),'Backtest by tenor'!U2-'python Backtest by tenor'!U2,IF('Backtest by tenor'!U2&amp;""='python Backtest by tenor'!U2&amp;"","","TEXT DIFF"))</f>
        <v>0</v>
      </c>
      <c r="V16" s="3" t="n">
        <f aca="false">IF(AND(ISNUMBER('Backtest by tenor'!V2),ISNUMBER('python Backtest by tenor'!V2)),'Backtest by tenor'!V2-'python Backtest by tenor'!V2,IF('Backtest by tenor'!V2&amp;""='python Backtest by tenor'!V2&amp;"","","TEXT DIFF"))</f>
        <v>0</v>
      </c>
    </row>
    <row r="17" customFormat="false" ht="15" hidden="false" customHeight="false" outlineLevel="0" collapsed="false">
      <c r="A17" s="1" t="str">
        <f aca="false">IF(AND(ISNUMBER('Backtest by tenor'!A3),ISNUMBER('python Backtest by tenor'!A3)),'Backtest by tenor'!A3-'python Backtest by tenor'!A3,IF('Backtest by tenor'!A3&amp;""='python Backtest by tenor'!A3&amp;"","","TEXT DIFF"))</f>
        <v/>
      </c>
      <c r="B17" s="1" t="str">
        <f aca="false">IF(AND(ISNUMBER('Backtest by tenor'!B3),ISNUMBER('python Backtest by tenor'!B3)),'Backtest by tenor'!B3-'python Backtest by tenor'!B3,IF('Backtest by tenor'!B3&amp;""='python Backtest by tenor'!B3&amp;"","","TEXT DIFF"))</f>
        <v/>
      </c>
      <c r="C17" s="1" t="str">
        <f aca="false">IF(AND(ISNUMBER('Backtest by tenor'!C3),ISNUMBER('python Backtest by tenor'!C3)),'Backtest by tenor'!C3-'python Backtest by tenor'!C3,IF('Backtest by tenor'!C3&amp;""='python Backtest by tenor'!C3&amp;"","","TEXT DIFF"))</f>
        <v/>
      </c>
      <c r="D17" s="1" t="str">
        <f aca="false">IF(AND(ISNUMBER('Backtest by tenor'!D3),ISNUMBER('python Backtest by tenor'!D3)),'Backtest by tenor'!D3-'python Backtest by tenor'!D3,IF('Backtest by tenor'!D3&amp;""='python Backtest by tenor'!D3&amp;"","","TEXT DIFF"))</f>
        <v/>
      </c>
      <c r="E17" s="1" t="n">
        <f aca="false">IF(AND(ISNUMBER('Backtest by tenor'!E3),ISNUMBER('python Backtest by tenor'!E3)),'Backtest by tenor'!E3-'python Backtest by tenor'!E3,IF('Backtest by tenor'!E3&amp;""='python Backtest by tenor'!E3&amp;"","","TEXT DIFF"))</f>
        <v>0</v>
      </c>
      <c r="F17" s="1" t="n">
        <f aca="false">IF(AND(ISNUMBER('Backtest by tenor'!F3),ISNUMBER('python Backtest by tenor'!F3)),'Backtest by tenor'!F3-'python Backtest by tenor'!F3,IF('Backtest by tenor'!F3&amp;""='python Backtest by tenor'!F3&amp;"","","TEXT DIFF"))</f>
        <v>0</v>
      </c>
      <c r="G17" s="1" t="n">
        <f aca="false">IF(AND(ISNUMBER('Backtest by tenor'!G3),ISNUMBER('python Backtest by tenor'!G3)),'Backtest by tenor'!G3-'python Backtest by tenor'!G3,IF('Backtest by tenor'!G3&amp;""='python Backtest by tenor'!G3&amp;"","","TEXT DIFF"))</f>
        <v>0</v>
      </c>
      <c r="H17" s="1" t="n">
        <f aca="false">IF(AND(ISNUMBER('Backtest by tenor'!H3),ISNUMBER('python Backtest by tenor'!H3)),'Backtest by tenor'!H3-'python Backtest by tenor'!H3,IF('Backtest by tenor'!H3&amp;""='python Backtest by tenor'!H3&amp;"","","TEXT DIFF"))</f>
        <v>0</v>
      </c>
      <c r="I17" s="1" t="n">
        <f aca="false">IF(AND(ISNUMBER('Backtest by tenor'!I3),ISNUMBER('python Backtest by tenor'!I3)),'Backtest by tenor'!I3-'python Backtest by tenor'!I3,IF('Backtest by tenor'!I3&amp;""='python Backtest by tenor'!I3&amp;"","","TEXT DIFF"))</f>
        <v>0</v>
      </c>
      <c r="J17" s="1" t="n">
        <f aca="false">IF(AND(ISNUMBER('Backtest by tenor'!J3),ISNUMBER('python Backtest by tenor'!J3)),'Backtest by tenor'!J3-'python Backtest by tenor'!J3,IF('Backtest by tenor'!J3&amp;""='python Backtest by tenor'!J3&amp;"","","TEXT DIFF"))</f>
        <v>0</v>
      </c>
      <c r="K17" s="1" t="n">
        <f aca="false">IF(AND(ISNUMBER('Backtest by tenor'!K3),ISNUMBER('python Backtest by tenor'!K3)),'Backtest by tenor'!K3-'python Backtest by tenor'!K3,IF('Backtest by tenor'!K3&amp;""='python Backtest by tenor'!K3&amp;"","","TEXT DIFF"))</f>
        <v>0</v>
      </c>
      <c r="L17" s="1" t="n">
        <f aca="false">IF(AND(ISNUMBER('Backtest by tenor'!L3),ISNUMBER('python Backtest by tenor'!L3)),'Backtest by tenor'!L3-'python Backtest by tenor'!L3,IF('Backtest by tenor'!L3&amp;""='python Backtest by tenor'!L3&amp;"","","TEXT DIFF"))</f>
        <v>0</v>
      </c>
      <c r="M17" s="1" t="n">
        <f aca="false">IF(AND(ISNUMBER('Backtest by tenor'!M3),ISNUMBER('python Backtest by tenor'!M3)),'Backtest by tenor'!M3-'python Backtest by tenor'!M3,IF('Backtest by tenor'!M3&amp;""='python Backtest by tenor'!M3&amp;"","","TEXT DIFF"))</f>
        <v>0</v>
      </c>
      <c r="N17" s="1" t="n">
        <f aca="false">IF(AND(ISNUMBER('Backtest by tenor'!N3),ISNUMBER('python Backtest by tenor'!N3)),'Backtest by tenor'!N3-'python Backtest by tenor'!N3,IF('Backtest by tenor'!N3&amp;""='python Backtest by tenor'!N3&amp;"","","TEXT DIFF"))</f>
        <v>0</v>
      </c>
      <c r="O17" s="1" t="n">
        <f aca="false">IF(AND(ISNUMBER('Backtest by tenor'!O3),ISNUMBER('python Backtest by tenor'!O3)),'Backtest by tenor'!O3-'python Backtest by tenor'!O3,IF('Backtest by tenor'!O3&amp;""='python Backtest by tenor'!O3&amp;"","","TEXT DIFF"))</f>
        <v>0</v>
      </c>
      <c r="P17" s="1" t="n">
        <f aca="false">IF(AND(ISNUMBER('Backtest by tenor'!P3),ISNUMBER('python Backtest by tenor'!P3)),'Backtest by tenor'!P3-'python Backtest by tenor'!P3,IF('Backtest by tenor'!P3&amp;""='python Backtest by tenor'!P3&amp;"","","TEXT DIFF"))</f>
        <v>0</v>
      </c>
      <c r="Q17" s="1" t="n">
        <f aca="false">IF(AND(ISNUMBER('Backtest by tenor'!Q3),ISNUMBER('python Backtest by tenor'!Q3)),'Backtest by tenor'!Q3-'python Backtest by tenor'!Q3,IF('Backtest by tenor'!Q3&amp;""='python Backtest by tenor'!Q3&amp;"","","TEXT DIFF"))</f>
        <v>0</v>
      </c>
      <c r="R17" s="1" t="n">
        <f aca="false">IF(AND(ISNUMBER('Backtest by tenor'!R3),ISNUMBER('python Backtest by tenor'!R3)),'Backtest by tenor'!R3-'python Backtest by tenor'!R3,IF('Backtest by tenor'!R3&amp;""='python Backtest by tenor'!R3&amp;"","","TEXT DIFF"))</f>
        <v>0</v>
      </c>
      <c r="S17" s="1" t="n">
        <f aca="false">IF(AND(ISNUMBER('Backtest by tenor'!S3),ISNUMBER('python Backtest by tenor'!S3)),'Backtest by tenor'!S3-'python Backtest by tenor'!S3,IF('Backtest by tenor'!S3&amp;""='python Backtest by tenor'!S3&amp;"","","TEXT DIFF"))</f>
        <v>0</v>
      </c>
      <c r="T17" s="1" t="n">
        <f aca="false">IF(AND(ISNUMBER('Backtest by tenor'!T3),ISNUMBER('python Backtest by tenor'!T3)),'Backtest by tenor'!T3-'python Backtest by tenor'!T3,IF('Backtest by tenor'!T3&amp;""='python Backtest by tenor'!T3&amp;"","","TEXT DIFF"))</f>
        <v>0</v>
      </c>
      <c r="U17" s="1" t="n">
        <f aca="false">IF(AND(ISNUMBER('Backtest by tenor'!U3),ISNUMBER('python Backtest by tenor'!U3)),'Backtest by tenor'!U3-'python Backtest by tenor'!U3,IF('Backtest by tenor'!U3&amp;""='python Backtest by tenor'!U3&amp;"","","TEXT DIFF"))</f>
        <v>0</v>
      </c>
      <c r="V17" s="1" t="n">
        <f aca="false">IF(AND(ISNUMBER('Backtest by tenor'!V3),ISNUMBER('python Backtest by tenor'!V3)),'Backtest by tenor'!V3-'python Backtest by tenor'!V3,IF('Backtest by tenor'!V3&amp;""='python Backtest by tenor'!V3&amp;"","","TEXT DIFF"))</f>
        <v>0</v>
      </c>
    </row>
    <row r="18" customFormat="false" ht="15" hidden="false" customHeight="false" outlineLevel="0" collapsed="false">
      <c r="A18" s="1" t="str">
        <f aca="false">IF(AND(ISNUMBER('Backtest by tenor'!A4),ISNUMBER('python Backtest by tenor'!A4)),'Backtest by tenor'!A4-'python Backtest by tenor'!A4,IF('Backtest by tenor'!A4&amp;""='python Backtest by tenor'!A4&amp;"","","TEXT DIFF"))</f>
        <v/>
      </c>
      <c r="B18" s="1" t="str">
        <f aca="false">IF(AND(ISNUMBER('Backtest by tenor'!B4),ISNUMBER('python Backtest by tenor'!B4)),'Backtest by tenor'!B4-'python Backtest by tenor'!B4,IF('Backtest by tenor'!B4&amp;""='python Backtest by tenor'!B4&amp;"","","TEXT DIFF"))</f>
        <v/>
      </c>
      <c r="C18" s="1" t="str">
        <f aca="false">IF(AND(ISNUMBER('Backtest by tenor'!C4),ISNUMBER('python Backtest by tenor'!C4)),'Backtest by tenor'!C4-'python Backtest by tenor'!C4,IF('Backtest by tenor'!C4&amp;""='python Backtest by tenor'!C4&amp;"","","TEXT DIFF"))</f>
        <v/>
      </c>
      <c r="D18" s="1" t="str">
        <f aca="false">IF(AND(ISNUMBER('Backtest by tenor'!D4),ISNUMBER('python Backtest by tenor'!D4)),'Backtest by tenor'!D4-'python Backtest by tenor'!D4,IF('Backtest by tenor'!D4&amp;""='python Backtest by tenor'!D4&amp;"","","TEXT DIFF"))</f>
        <v/>
      </c>
      <c r="E18" s="3" t="n">
        <f aca="false">IF(AND(ISNUMBER('Backtest by tenor'!E4),ISNUMBER('python Backtest by tenor'!E4)),'Backtest by tenor'!E4-'python Backtest by tenor'!E4,IF('Backtest by tenor'!E4&amp;""='python Backtest by tenor'!E4&amp;"","","TEXT DIFF"))</f>
        <v>0</v>
      </c>
      <c r="F18" s="3" t="n">
        <f aca="false">IF(AND(ISNUMBER('Backtest by tenor'!F4),ISNUMBER('python Backtest by tenor'!F4)),'Backtest by tenor'!F4-'python Backtest by tenor'!F4,IF('Backtest by tenor'!F4&amp;""='python Backtest by tenor'!F4&amp;"","","TEXT DIFF"))</f>
        <v>0</v>
      </c>
      <c r="G18" s="3" t="n">
        <f aca="false">IF(AND(ISNUMBER('Backtest by tenor'!G4),ISNUMBER('python Backtest by tenor'!G4)),'Backtest by tenor'!G4-'python Backtest by tenor'!G4,IF('Backtest by tenor'!G4&amp;""='python Backtest by tenor'!G4&amp;"","","TEXT DIFF"))</f>
        <v>0</v>
      </c>
      <c r="H18" s="3" t="n">
        <f aca="false">IF(AND(ISNUMBER('Backtest by tenor'!H4),ISNUMBER('python Backtest by tenor'!H4)),'Backtest by tenor'!H4-'python Backtest by tenor'!H4,IF('Backtest by tenor'!H4&amp;""='python Backtest by tenor'!H4&amp;"","","TEXT DIFF"))</f>
        <v>0</v>
      </c>
      <c r="I18" s="3" t="n">
        <f aca="false">IF(AND(ISNUMBER('Backtest by tenor'!I4),ISNUMBER('python Backtest by tenor'!I4)),'Backtest by tenor'!I4-'python Backtest by tenor'!I4,IF('Backtest by tenor'!I4&amp;""='python Backtest by tenor'!I4&amp;"","","TEXT DIFF"))</f>
        <v>0</v>
      </c>
      <c r="J18" s="3" t="n">
        <f aca="false">IF(AND(ISNUMBER('Backtest by tenor'!J4),ISNUMBER('python Backtest by tenor'!J4)),'Backtest by tenor'!J4-'python Backtest by tenor'!J4,IF('Backtest by tenor'!J4&amp;""='python Backtest by tenor'!J4&amp;"","","TEXT DIFF"))</f>
        <v>0</v>
      </c>
      <c r="K18" s="3" t="n">
        <f aca="false">IF(AND(ISNUMBER('Backtest by tenor'!K4),ISNUMBER('python Backtest by tenor'!K4)),'Backtest by tenor'!K4-'python Backtest by tenor'!K4,IF('Backtest by tenor'!K4&amp;""='python Backtest by tenor'!K4&amp;"","","TEXT DIFF"))</f>
        <v>0</v>
      </c>
      <c r="L18" s="3" t="n">
        <f aca="false">IF(AND(ISNUMBER('Backtest by tenor'!L4),ISNUMBER('python Backtest by tenor'!L4)),'Backtest by tenor'!L4-'python Backtest by tenor'!L4,IF('Backtest by tenor'!L4&amp;""='python Backtest by tenor'!L4&amp;"","","TEXT DIFF"))</f>
        <v>0</v>
      </c>
      <c r="M18" s="3" t="n">
        <f aca="false">IF(AND(ISNUMBER('Backtest by tenor'!M4),ISNUMBER('python Backtest by tenor'!M4)),'Backtest by tenor'!M4-'python Backtest by tenor'!M4,IF('Backtest by tenor'!M4&amp;""='python Backtest by tenor'!M4&amp;"","","TEXT DIFF"))</f>
        <v>0</v>
      </c>
      <c r="N18" s="3" t="n">
        <f aca="false">IF(AND(ISNUMBER('Backtest by tenor'!N4),ISNUMBER('python Backtest by tenor'!N4)),'Backtest by tenor'!N4-'python Backtest by tenor'!N4,IF('Backtest by tenor'!N4&amp;""='python Backtest by tenor'!N4&amp;"","","TEXT DIFF"))</f>
        <v>0</v>
      </c>
      <c r="O18" s="3" t="n">
        <f aca="false">IF(AND(ISNUMBER('Backtest by tenor'!O4),ISNUMBER('python Backtest by tenor'!O4)),'Backtest by tenor'!O4-'python Backtest by tenor'!O4,IF('Backtest by tenor'!O4&amp;""='python Backtest by tenor'!O4&amp;"","","TEXT DIFF"))</f>
        <v>0</v>
      </c>
      <c r="P18" s="3" t="n">
        <f aca="false">IF(AND(ISNUMBER('Backtest by tenor'!P4),ISNUMBER('python Backtest by tenor'!P4)),'Backtest by tenor'!P4-'python Backtest by tenor'!P4,IF('Backtest by tenor'!P4&amp;""='python Backtest by tenor'!P4&amp;"","","TEXT DIFF"))</f>
        <v>0</v>
      </c>
      <c r="Q18" s="3" t="n">
        <f aca="false">IF(AND(ISNUMBER('Backtest by tenor'!Q4),ISNUMBER('python Backtest by tenor'!Q4)),'Backtest by tenor'!Q4-'python Backtest by tenor'!Q4,IF('Backtest by tenor'!Q4&amp;""='python Backtest by tenor'!Q4&amp;"","","TEXT DIFF"))</f>
        <v>0</v>
      </c>
      <c r="R18" s="3" t="n">
        <f aca="false">IF(AND(ISNUMBER('Backtest by tenor'!R4),ISNUMBER('python Backtest by tenor'!R4)),'Backtest by tenor'!R4-'python Backtest by tenor'!R4,IF('Backtest by tenor'!R4&amp;""='python Backtest by tenor'!R4&amp;"","","TEXT DIFF"))</f>
        <v>0</v>
      </c>
      <c r="S18" s="3" t="n">
        <f aca="false">IF(AND(ISNUMBER('Backtest by tenor'!S4),ISNUMBER('python Backtest by tenor'!S4)),'Backtest by tenor'!S4-'python Backtest by tenor'!S4,IF('Backtest by tenor'!S4&amp;""='python Backtest by tenor'!S4&amp;"","","TEXT DIFF"))</f>
        <v>0</v>
      </c>
      <c r="T18" s="3" t="n">
        <f aca="false">IF(AND(ISNUMBER('Backtest by tenor'!T4),ISNUMBER('python Backtest by tenor'!T4)),'Backtest by tenor'!T4-'python Backtest by tenor'!T4,IF('Backtest by tenor'!T4&amp;""='python Backtest by tenor'!T4&amp;"","","TEXT DIFF"))</f>
        <v>0</v>
      </c>
      <c r="U18" s="3" t="n">
        <f aca="false">IF(AND(ISNUMBER('Backtest by tenor'!U4),ISNUMBER('python Backtest by tenor'!U4)),'Backtest by tenor'!U4-'python Backtest by tenor'!U4,IF('Backtest by tenor'!U4&amp;""='python Backtest by tenor'!U4&amp;"","","TEXT DIFF"))</f>
        <v>0</v>
      </c>
      <c r="V18" s="3" t="n">
        <f aca="false">IF(AND(ISNUMBER('Backtest by tenor'!V4),ISNUMBER('python Backtest by tenor'!V4)),'Backtest by tenor'!V4-'python Backtest by tenor'!V4,IF('Backtest by tenor'!V4&amp;""='python Backtest by tenor'!V4&amp;"","","TEXT DIFF"))</f>
        <v>0</v>
      </c>
    </row>
    <row r="19" customFormat="false" ht="15" hidden="false" customHeight="false" outlineLevel="0" collapsed="false">
      <c r="A19" s="1" t="str">
        <f aca="false">IF(AND(ISNUMBER('Backtest by tenor'!A5),ISNUMBER('python Backtest by tenor'!A5)),'Backtest by tenor'!A5-'python Backtest by tenor'!A5,IF('Backtest by tenor'!A5&amp;""='python Backtest by tenor'!A5&amp;"","","TEXT DIFF"))</f>
        <v/>
      </c>
      <c r="B19" s="1" t="str">
        <f aca="false">IF(AND(ISNUMBER('Backtest by tenor'!B5),ISNUMBER('python Backtest by tenor'!B5)),'Backtest by tenor'!B5-'python Backtest by tenor'!B5,IF('Backtest by tenor'!B5&amp;""='python Backtest by tenor'!B5&amp;"","","TEXT DIFF"))</f>
        <v/>
      </c>
      <c r="C19" s="1" t="str">
        <f aca="false">IF(AND(ISNUMBER('Backtest by tenor'!C5),ISNUMBER('python Backtest by tenor'!C5)),'Backtest by tenor'!C5-'python Backtest by tenor'!C5,IF('Backtest by tenor'!C5&amp;""='python Backtest by tenor'!C5&amp;"","","TEXT DIFF"))</f>
        <v/>
      </c>
      <c r="D19" s="1" t="str">
        <f aca="false">IF(AND(ISNUMBER('Backtest by tenor'!D5),ISNUMBER('python Backtest by tenor'!D5)),'Backtest by tenor'!D5-'python Backtest by tenor'!D5,IF('Backtest by tenor'!D5&amp;""='python Backtest by tenor'!D5&amp;"","","TEXT DIFF"))</f>
        <v/>
      </c>
      <c r="E19" s="3" t="n">
        <f aca="false">IF(AND(ISNUMBER('Backtest by tenor'!E5),ISNUMBER('python Backtest by tenor'!E5)),'Backtest by tenor'!E5-'python Backtest by tenor'!E5,IF('Backtest by tenor'!E5&amp;""='python Backtest by tenor'!E5&amp;"","","TEXT DIFF"))</f>
        <v>0</v>
      </c>
      <c r="F19" s="3" t="n">
        <f aca="false">IF(AND(ISNUMBER('Backtest by tenor'!F5),ISNUMBER('python Backtest by tenor'!F5)),'Backtest by tenor'!F5-'python Backtest by tenor'!F5,IF('Backtest by tenor'!F5&amp;""='python Backtest by tenor'!F5&amp;"","","TEXT DIFF"))</f>
        <v>0</v>
      </c>
      <c r="G19" s="3" t="n">
        <f aca="false">IF(AND(ISNUMBER('Backtest by tenor'!G5),ISNUMBER('python Backtest by tenor'!G5)),'Backtest by tenor'!G5-'python Backtest by tenor'!G5,IF('Backtest by tenor'!G5&amp;""='python Backtest by tenor'!G5&amp;"","","TEXT DIFF"))</f>
        <v>0</v>
      </c>
      <c r="H19" s="3" t="n">
        <f aca="false">IF(AND(ISNUMBER('Backtest by tenor'!H5),ISNUMBER('python Backtest by tenor'!H5)),'Backtest by tenor'!H5-'python Backtest by tenor'!H5,IF('Backtest by tenor'!H5&amp;""='python Backtest by tenor'!H5&amp;"","","TEXT DIFF"))</f>
        <v>0</v>
      </c>
      <c r="I19" s="3" t="n">
        <f aca="false">IF(AND(ISNUMBER('Backtest by tenor'!I5),ISNUMBER('python Backtest by tenor'!I5)),'Backtest by tenor'!I5-'python Backtest by tenor'!I5,IF('Backtest by tenor'!I5&amp;""='python Backtest by tenor'!I5&amp;"","","TEXT DIFF"))</f>
        <v>0</v>
      </c>
      <c r="J19" s="3" t="n">
        <f aca="false">IF(AND(ISNUMBER('Backtest by tenor'!J5),ISNUMBER('python Backtest by tenor'!J5)),'Backtest by tenor'!J5-'python Backtest by tenor'!J5,IF('Backtest by tenor'!J5&amp;""='python Backtest by tenor'!J5&amp;"","","TEXT DIFF"))</f>
        <v>0</v>
      </c>
      <c r="K19" s="3" t="n">
        <f aca="false">IF(AND(ISNUMBER('Backtest by tenor'!K5),ISNUMBER('python Backtest by tenor'!K5)),'Backtest by tenor'!K5-'python Backtest by tenor'!K5,IF('Backtest by tenor'!K5&amp;""='python Backtest by tenor'!K5&amp;"","","TEXT DIFF"))</f>
        <v>0</v>
      </c>
      <c r="L19" s="3" t="n">
        <f aca="false">IF(AND(ISNUMBER('Backtest by tenor'!L5),ISNUMBER('python Backtest by tenor'!L5)),'Backtest by tenor'!L5-'python Backtest by tenor'!L5,IF('Backtest by tenor'!L5&amp;""='python Backtest by tenor'!L5&amp;"","","TEXT DIFF"))</f>
        <v>0</v>
      </c>
      <c r="M19" s="3" t="n">
        <f aca="false">IF(AND(ISNUMBER('Backtest by tenor'!M5),ISNUMBER('python Backtest by tenor'!M5)),'Backtest by tenor'!M5-'python Backtest by tenor'!M5,IF('Backtest by tenor'!M5&amp;""='python Backtest by tenor'!M5&amp;"","","TEXT DIFF"))</f>
        <v>0</v>
      </c>
      <c r="N19" s="3" t="n">
        <f aca="false">IF(AND(ISNUMBER('Backtest by tenor'!N5),ISNUMBER('python Backtest by tenor'!N5)),'Backtest by tenor'!N5-'python Backtest by tenor'!N5,IF('Backtest by tenor'!N5&amp;""='python Backtest by tenor'!N5&amp;"","","TEXT DIFF"))</f>
        <v>0</v>
      </c>
      <c r="O19" s="3" t="n">
        <f aca="false">IF(AND(ISNUMBER('Backtest by tenor'!O5),ISNUMBER('python Backtest by tenor'!O5)),'Backtest by tenor'!O5-'python Backtest by tenor'!O5,IF('Backtest by tenor'!O5&amp;""='python Backtest by tenor'!O5&amp;"","","TEXT DIFF"))</f>
        <v>0</v>
      </c>
      <c r="P19" s="3" t="n">
        <f aca="false">IF(AND(ISNUMBER('Backtest by tenor'!P5),ISNUMBER('python Backtest by tenor'!P5)),'Backtest by tenor'!P5-'python Backtest by tenor'!P5,IF('Backtest by tenor'!P5&amp;""='python Backtest by tenor'!P5&amp;"","","TEXT DIFF"))</f>
        <v>0</v>
      </c>
      <c r="Q19" s="3" t="n">
        <f aca="false">IF(AND(ISNUMBER('Backtest by tenor'!Q5),ISNUMBER('python Backtest by tenor'!Q5)),'Backtest by tenor'!Q5-'python Backtest by tenor'!Q5,IF('Backtest by tenor'!Q5&amp;""='python Backtest by tenor'!Q5&amp;"","","TEXT DIFF"))</f>
        <v>0</v>
      </c>
      <c r="R19" s="3" t="n">
        <f aca="false">IF(AND(ISNUMBER('Backtest by tenor'!R5),ISNUMBER('python Backtest by tenor'!R5)),'Backtest by tenor'!R5-'python Backtest by tenor'!R5,IF('Backtest by tenor'!R5&amp;""='python Backtest by tenor'!R5&amp;"","","TEXT DIFF"))</f>
        <v>0</v>
      </c>
      <c r="S19" s="3" t="n">
        <f aca="false">IF(AND(ISNUMBER('Backtest by tenor'!S5),ISNUMBER('python Backtest by tenor'!S5)),'Backtest by tenor'!S5-'python Backtest by tenor'!S5,IF('Backtest by tenor'!S5&amp;""='python Backtest by tenor'!S5&amp;"","","TEXT DIFF"))</f>
        <v>0</v>
      </c>
      <c r="T19" s="3" t="n">
        <f aca="false">IF(AND(ISNUMBER('Backtest by tenor'!T5),ISNUMBER('python Backtest by tenor'!T5)),'Backtest by tenor'!T5-'python Backtest by tenor'!T5,IF('Backtest by tenor'!T5&amp;""='python Backtest by tenor'!T5&amp;"","","TEXT DIFF"))</f>
        <v>0</v>
      </c>
      <c r="U19" s="3" t="n">
        <f aca="false">IF(AND(ISNUMBER('Backtest by tenor'!U5),ISNUMBER('python Backtest by tenor'!U5)),'Backtest by tenor'!U5-'python Backtest by tenor'!U5,IF('Backtest by tenor'!U5&amp;""='python Backtest by tenor'!U5&amp;"","","TEXT DIFF"))</f>
        <v>0</v>
      </c>
      <c r="V19" s="3" t="n">
        <f aca="false">IF(AND(ISNUMBER('Backtest by tenor'!V5),ISNUMBER('python Backtest by tenor'!V5)),'Backtest by tenor'!V5-'python Backtest by tenor'!V5,IF('Backtest by tenor'!V5&amp;""='python Backtest by tenor'!V5&amp;"","","TEXT DIFF"))</f>
        <v>0</v>
      </c>
    </row>
    <row r="20" customFormat="false" ht="15" hidden="false" customHeight="false" outlineLevel="0" collapsed="false">
      <c r="A20" s="1" t="str">
        <f aca="false">IF(AND(ISNUMBER('Backtest by tenor'!A6),ISNUMBER('python Backtest by tenor'!A6)),'Backtest by tenor'!A6-'python Backtest by tenor'!A6,IF('Backtest by tenor'!A6&amp;""='python Backtest by tenor'!A6&amp;"","","TEXT DIFF"))</f>
        <v/>
      </c>
      <c r="B20" s="1" t="str">
        <f aca="false">IF(AND(ISNUMBER('Backtest by tenor'!B6),ISNUMBER('python Backtest by tenor'!B6)),'Backtest by tenor'!B6-'python Backtest by tenor'!B6,IF('Backtest by tenor'!B6&amp;""='python Backtest by tenor'!B6&amp;"","","TEXT DIFF"))</f>
        <v/>
      </c>
      <c r="C20" s="1" t="str">
        <f aca="false">IF(AND(ISNUMBER('Backtest by tenor'!C6),ISNUMBER('python Backtest by tenor'!C6)),'Backtest by tenor'!C6-'python Backtest by tenor'!C6,IF('Backtest by tenor'!C6&amp;""='python Backtest by tenor'!C6&amp;"","","TEXT DIFF"))</f>
        <v/>
      </c>
      <c r="D20" s="1" t="str">
        <f aca="false">IF(AND(ISNUMBER('Backtest by tenor'!D6),ISNUMBER('python Backtest by tenor'!D6)),'Backtest by tenor'!D6-'python Backtest by tenor'!D6,IF('Backtest by tenor'!D6&amp;""='python Backtest by tenor'!D6&amp;"","","TEXT DIFF"))</f>
        <v/>
      </c>
      <c r="E20" s="3" t="n">
        <f aca="false">IF(AND(ISNUMBER('Backtest by tenor'!E6),ISNUMBER('python Backtest by tenor'!E6)),'Backtest by tenor'!E6-'python Backtest by tenor'!E6,IF('Backtest by tenor'!E6&amp;""='python Backtest by tenor'!E6&amp;"","","TEXT DIFF"))</f>
        <v>0</v>
      </c>
      <c r="F20" s="3" t="n">
        <f aca="false">IF(AND(ISNUMBER('Backtest by tenor'!F6),ISNUMBER('python Backtest by tenor'!F6)),'Backtest by tenor'!F6-'python Backtest by tenor'!F6,IF('Backtest by tenor'!F6&amp;""='python Backtest by tenor'!F6&amp;"","","TEXT DIFF"))</f>
        <v>0</v>
      </c>
      <c r="G20" s="3" t="n">
        <f aca="false">IF(AND(ISNUMBER('Backtest by tenor'!G6),ISNUMBER('python Backtest by tenor'!G6)),'Backtest by tenor'!G6-'python Backtest by tenor'!G6,IF('Backtest by tenor'!G6&amp;""='python Backtest by tenor'!G6&amp;"","","TEXT DIFF"))</f>
        <v>0</v>
      </c>
      <c r="H20" s="3" t="n">
        <f aca="false">IF(AND(ISNUMBER('Backtest by tenor'!H6),ISNUMBER('python Backtest by tenor'!H6)),'Backtest by tenor'!H6-'python Backtest by tenor'!H6,IF('Backtest by tenor'!H6&amp;""='python Backtest by tenor'!H6&amp;"","","TEXT DIFF"))</f>
        <v>0</v>
      </c>
      <c r="I20" s="3" t="n">
        <f aca="false">IF(AND(ISNUMBER('Backtest by tenor'!I6),ISNUMBER('python Backtest by tenor'!I6)),'Backtest by tenor'!I6-'python Backtest by tenor'!I6,IF('Backtest by tenor'!I6&amp;""='python Backtest by tenor'!I6&amp;"","","TEXT DIFF"))</f>
        <v>0</v>
      </c>
      <c r="J20" s="3" t="n">
        <f aca="false">IF(AND(ISNUMBER('Backtest by tenor'!J6),ISNUMBER('python Backtest by tenor'!J6)),'Backtest by tenor'!J6-'python Backtest by tenor'!J6,IF('Backtest by tenor'!J6&amp;""='python Backtest by tenor'!J6&amp;"","","TEXT DIFF"))</f>
        <v>0</v>
      </c>
      <c r="K20" s="3" t="n">
        <f aca="false">IF(AND(ISNUMBER('Backtest by tenor'!K6),ISNUMBER('python Backtest by tenor'!K6)),'Backtest by tenor'!K6-'python Backtest by tenor'!K6,IF('Backtest by tenor'!K6&amp;""='python Backtest by tenor'!K6&amp;"","","TEXT DIFF"))</f>
        <v>0</v>
      </c>
      <c r="L20" s="3" t="n">
        <f aca="false">IF(AND(ISNUMBER('Backtest by tenor'!L6),ISNUMBER('python Backtest by tenor'!L6)),'Backtest by tenor'!L6-'python Backtest by tenor'!L6,IF('Backtest by tenor'!L6&amp;""='python Backtest by tenor'!L6&amp;"","","TEXT DIFF"))</f>
        <v>0</v>
      </c>
      <c r="M20" s="3" t="n">
        <f aca="false">IF(AND(ISNUMBER('Backtest by tenor'!M6),ISNUMBER('python Backtest by tenor'!M6)),'Backtest by tenor'!M6-'python Backtest by tenor'!M6,IF('Backtest by tenor'!M6&amp;""='python Backtest by tenor'!M6&amp;"","","TEXT DIFF"))</f>
        <v>0</v>
      </c>
      <c r="N20" s="3" t="n">
        <f aca="false">IF(AND(ISNUMBER('Backtest by tenor'!N6),ISNUMBER('python Backtest by tenor'!N6)),'Backtest by tenor'!N6-'python Backtest by tenor'!N6,IF('Backtest by tenor'!N6&amp;""='python Backtest by tenor'!N6&amp;"","","TEXT DIFF"))</f>
        <v>0</v>
      </c>
      <c r="O20" s="3" t="n">
        <f aca="false">IF(AND(ISNUMBER('Backtest by tenor'!O6),ISNUMBER('python Backtest by tenor'!O6)),'Backtest by tenor'!O6-'python Backtest by tenor'!O6,IF('Backtest by tenor'!O6&amp;""='python Backtest by tenor'!O6&amp;"","","TEXT DIFF"))</f>
        <v>0</v>
      </c>
      <c r="P20" s="3" t="n">
        <f aca="false">IF(AND(ISNUMBER('Backtest by tenor'!P6),ISNUMBER('python Backtest by tenor'!P6)),'Backtest by tenor'!P6-'python Backtest by tenor'!P6,IF('Backtest by tenor'!P6&amp;""='python Backtest by tenor'!P6&amp;"","","TEXT DIFF"))</f>
        <v>0</v>
      </c>
      <c r="Q20" s="3" t="n">
        <f aca="false">IF(AND(ISNUMBER('Backtest by tenor'!Q6),ISNUMBER('python Backtest by tenor'!Q6)),'Backtest by tenor'!Q6-'python Backtest by tenor'!Q6,IF('Backtest by tenor'!Q6&amp;""='python Backtest by tenor'!Q6&amp;"","","TEXT DIFF"))</f>
        <v>0</v>
      </c>
      <c r="R20" s="3" t="n">
        <f aca="false">IF(AND(ISNUMBER('Backtest by tenor'!R6),ISNUMBER('python Backtest by tenor'!R6)),'Backtest by tenor'!R6-'python Backtest by tenor'!R6,IF('Backtest by tenor'!R6&amp;""='python Backtest by tenor'!R6&amp;"","","TEXT DIFF"))</f>
        <v>0</v>
      </c>
      <c r="S20" s="3" t="n">
        <f aca="false">IF(AND(ISNUMBER('Backtest by tenor'!S6),ISNUMBER('python Backtest by tenor'!S6)),'Backtest by tenor'!S6-'python Backtest by tenor'!S6,IF('Backtest by tenor'!S6&amp;""='python Backtest by tenor'!S6&amp;"","","TEXT DIFF"))</f>
        <v>0</v>
      </c>
      <c r="T20" s="3" t="n">
        <f aca="false">IF(AND(ISNUMBER('Backtest by tenor'!T6),ISNUMBER('python Backtest by tenor'!T6)),'Backtest by tenor'!T6-'python Backtest by tenor'!T6,IF('Backtest by tenor'!T6&amp;""='python Backtest by tenor'!T6&amp;"","","TEXT DIFF"))</f>
        <v>0</v>
      </c>
      <c r="U20" s="3" t="n">
        <f aca="false">IF(AND(ISNUMBER('Backtest by tenor'!U6),ISNUMBER('python Backtest by tenor'!U6)),'Backtest by tenor'!U6-'python Backtest by tenor'!U6,IF('Backtest by tenor'!U6&amp;""='python Backtest by tenor'!U6&amp;"","","TEXT DIFF"))</f>
        <v>0</v>
      </c>
      <c r="V20" s="3" t="n">
        <f aca="false">IF(AND(ISNUMBER('Backtest by tenor'!V6),ISNUMBER('python Backtest by tenor'!V6)),'Backtest by tenor'!V6-'python Backtest by tenor'!V6,IF('Backtest by tenor'!V6&amp;""='python Backtest by tenor'!V6&amp;"","","TEXT DIFF"))</f>
        <v>0</v>
      </c>
    </row>
    <row r="21" customFormat="false" ht="15" hidden="false" customHeight="false" outlineLevel="0" collapsed="false">
      <c r="A21" s="1" t="str">
        <f aca="false">IF(AND(ISNUMBER('Backtest by tenor'!A7),ISNUMBER('python Backtest by tenor'!A7)),'Backtest by tenor'!A7-'python Backtest by tenor'!A7,IF('Backtest by tenor'!A7&amp;""='python Backtest by tenor'!A7&amp;"","","TEXT DIFF"))</f>
        <v/>
      </c>
      <c r="B21" s="1" t="str">
        <f aca="false">IF(AND(ISNUMBER('Backtest by tenor'!B7),ISNUMBER('python Backtest by tenor'!B7)),'Backtest by tenor'!B7-'python Backtest by tenor'!B7,IF('Backtest by tenor'!B7&amp;""='python Backtest by tenor'!B7&amp;"","","TEXT DIFF"))</f>
        <v/>
      </c>
      <c r="C21" s="1" t="str">
        <f aca="false">IF(AND(ISNUMBER('Backtest by tenor'!C7),ISNUMBER('python Backtest by tenor'!C7)),'Backtest by tenor'!C7-'python Backtest by tenor'!C7,IF('Backtest by tenor'!C7&amp;""='python Backtest by tenor'!C7&amp;"","","TEXT DIFF"))</f>
        <v/>
      </c>
      <c r="D21" s="1" t="str">
        <f aca="false">IF(AND(ISNUMBER('Backtest by tenor'!D7),ISNUMBER('python Backtest by tenor'!D7)),'Backtest by tenor'!D7-'python Backtest by tenor'!D7,IF('Backtest by tenor'!D7&amp;""='python Backtest by tenor'!D7&amp;"","","TEXT DIFF"))</f>
        <v/>
      </c>
      <c r="E21" s="3" t="n">
        <f aca="false">IF(AND(ISNUMBER('Backtest by tenor'!E7),ISNUMBER('python Backtest by tenor'!E7)),'Backtest by tenor'!E7-'python Backtest by tenor'!E7,IF('Backtest by tenor'!E7&amp;""='python Backtest by tenor'!E7&amp;"","","TEXT DIFF"))</f>
        <v>0</v>
      </c>
      <c r="F21" s="3" t="n">
        <f aca="false">IF(AND(ISNUMBER('Backtest by tenor'!F7),ISNUMBER('python Backtest by tenor'!F7)),'Backtest by tenor'!F7-'python Backtest by tenor'!F7,IF('Backtest by tenor'!F7&amp;""='python Backtest by tenor'!F7&amp;"","","TEXT DIFF"))</f>
        <v>0</v>
      </c>
      <c r="G21" s="3" t="n">
        <f aca="false">IF(AND(ISNUMBER('Backtest by tenor'!G7),ISNUMBER('python Backtest by tenor'!G7)),'Backtest by tenor'!G7-'python Backtest by tenor'!G7,IF('Backtest by tenor'!G7&amp;""='python Backtest by tenor'!G7&amp;"","","TEXT DIFF"))</f>
        <v>0</v>
      </c>
      <c r="H21" s="3" t="n">
        <f aca="false">IF(AND(ISNUMBER('Backtest by tenor'!H7),ISNUMBER('python Backtest by tenor'!H7)),'Backtest by tenor'!H7-'python Backtest by tenor'!H7,IF('Backtest by tenor'!H7&amp;""='python Backtest by tenor'!H7&amp;"","","TEXT DIFF"))</f>
        <v>0</v>
      </c>
      <c r="I21" s="3" t="n">
        <f aca="false">IF(AND(ISNUMBER('Backtest by tenor'!I7),ISNUMBER('python Backtest by tenor'!I7)),'Backtest by tenor'!I7-'python Backtest by tenor'!I7,IF('Backtest by tenor'!I7&amp;""='python Backtest by tenor'!I7&amp;"","","TEXT DIFF"))</f>
        <v>0</v>
      </c>
      <c r="J21" s="3" t="n">
        <f aca="false">IF(AND(ISNUMBER('Backtest by tenor'!J7),ISNUMBER('python Backtest by tenor'!J7)),'Backtest by tenor'!J7-'python Backtest by tenor'!J7,IF('Backtest by tenor'!J7&amp;""='python Backtest by tenor'!J7&amp;"","","TEXT DIFF"))</f>
        <v>0</v>
      </c>
      <c r="K21" s="3" t="n">
        <f aca="false">IF(AND(ISNUMBER('Backtest by tenor'!K7),ISNUMBER('python Backtest by tenor'!K7)),'Backtest by tenor'!K7-'python Backtest by tenor'!K7,IF('Backtest by tenor'!K7&amp;""='python Backtest by tenor'!K7&amp;"","","TEXT DIFF"))</f>
        <v>0</v>
      </c>
      <c r="L21" s="3" t="n">
        <f aca="false">IF(AND(ISNUMBER('Backtest by tenor'!L7),ISNUMBER('python Backtest by tenor'!L7)),'Backtest by tenor'!L7-'python Backtest by tenor'!L7,IF('Backtest by tenor'!L7&amp;""='python Backtest by tenor'!L7&amp;"","","TEXT DIFF"))</f>
        <v>0</v>
      </c>
      <c r="M21" s="3" t="n">
        <f aca="false">IF(AND(ISNUMBER('Backtest by tenor'!M7),ISNUMBER('python Backtest by tenor'!M7)),'Backtest by tenor'!M7-'python Backtest by tenor'!M7,IF('Backtest by tenor'!M7&amp;""='python Backtest by tenor'!M7&amp;"","","TEXT DIFF"))</f>
        <v>0</v>
      </c>
      <c r="N21" s="3" t="n">
        <f aca="false">IF(AND(ISNUMBER('Backtest by tenor'!N7),ISNUMBER('python Backtest by tenor'!N7)),'Backtest by tenor'!N7-'python Backtest by tenor'!N7,IF('Backtest by tenor'!N7&amp;""='python Backtest by tenor'!N7&amp;"","","TEXT DIFF"))</f>
        <v>0</v>
      </c>
      <c r="O21" s="3" t="n">
        <f aca="false">IF(AND(ISNUMBER('Backtest by tenor'!O7),ISNUMBER('python Backtest by tenor'!O7)),'Backtest by tenor'!O7-'python Backtest by tenor'!O7,IF('Backtest by tenor'!O7&amp;""='python Backtest by tenor'!O7&amp;"","","TEXT DIFF"))</f>
        <v>0</v>
      </c>
      <c r="P21" s="3" t="n">
        <f aca="false">IF(AND(ISNUMBER('Backtest by tenor'!P7),ISNUMBER('python Backtest by tenor'!P7)),'Backtest by tenor'!P7-'python Backtest by tenor'!P7,IF('Backtest by tenor'!P7&amp;""='python Backtest by tenor'!P7&amp;"","","TEXT DIFF"))</f>
        <v>0</v>
      </c>
      <c r="Q21" s="3" t="n">
        <f aca="false">IF(AND(ISNUMBER('Backtest by tenor'!Q7),ISNUMBER('python Backtest by tenor'!Q7)),'Backtest by tenor'!Q7-'python Backtest by tenor'!Q7,IF('Backtest by tenor'!Q7&amp;""='python Backtest by tenor'!Q7&amp;"","","TEXT DIFF"))</f>
        <v>0</v>
      </c>
      <c r="R21" s="3" t="n">
        <f aca="false">IF(AND(ISNUMBER('Backtest by tenor'!R7),ISNUMBER('python Backtest by tenor'!R7)),'Backtest by tenor'!R7-'python Backtest by tenor'!R7,IF('Backtest by tenor'!R7&amp;""='python Backtest by tenor'!R7&amp;"","","TEXT DIFF"))</f>
        <v>0</v>
      </c>
      <c r="S21" s="3" t="n">
        <f aca="false">IF(AND(ISNUMBER('Backtest by tenor'!S7),ISNUMBER('python Backtest by tenor'!S7)),'Backtest by tenor'!S7-'python Backtest by tenor'!S7,IF('Backtest by tenor'!S7&amp;""='python Backtest by tenor'!S7&amp;"","","TEXT DIFF"))</f>
        <v>0</v>
      </c>
      <c r="T21" s="3" t="n">
        <f aca="false">IF(AND(ISNUMBER('Backtest by tenor'!T7),ISNUMBER('python Backtest by tenor'!T7)),'Backtest by tenor'!T7-'python Backtest by tenor'!T7,IF('Backtest by tenor'!T7&amp;""='python Backtest by tenor'!T7&amp;"","","TEXT DIFF"))</f>
        <v>0</v>
      </c>
      <c r="U21" s="3" t="n">
        <f aca="false">IF(AND(ISNUMBER('Backtest by tenor'!U7),ISNUMBER('python Backtest by tenor'!U7)),'Backtest by tenor'!U7-'python Backtest by tenor'!U7,IF('Backtest by tenor'!U7&amp;""='python Backtest by tenor'!U7&amp;"","","TEXT DIFF"))</f>
        <v>0</v>
      </c>
      <c r="V21" s="3" t="n">
        <f aca="false">IF(AND(ISNUMBER('Backtest by tenor'!V7),ISNUMBER('python Backtest by tenor'!V7)),'Backtest by tenor'!V7-'python Backtest by tenor'!V7,IF('Backtest by tenor'!V7&amp;""='python Backtest by tenor'!V7&amp;"","","TEXT DIFF"))</f>
        <v>0</v>
      </c>
    </row>
    <row r="22" customFormat="false" ht="15" hidden="false" customHeight="false" outlineLevel="0" collapsed="false">
      <c r="A22" s="1" t="str">
        <f aca="false">IF(AND(ISNUMBER('Backtest by tenor'!A8),ISNUMBER('python Backtest by tenor'!A8)),'Backtest by tenor'!A8-'python Backtest by tenor'!A8,IF('Backtest by tenor'!A8&amp;""='python Backtest by tenor'!A8&amp;"","","TEXT DIFF"))</f>
        <v/>
      </c>
      <c r="B22" s="1" t="str">
        <f aca="false">IF(AND(ISNUMBER('Backtest by tenor'!B8),ISNUMBER('python Backtest by tenor'!B8)),'Backtest by tenor'!B8-'python Backtest by tenor'!B8,IF('Backtest by tenor'!B8&amp;""='python Backtest by tenor'!B8&amp;"","","TEXT DIFF"))</f>
        <v/>
      </c>
      <c r="C22" s="1" t="str">
        <f aca="false">IF(AND(ISNUMBER('Backtest by tenor'!C8),ISNUMBER('python Backtest by tenor'!C8)),'Backtest by tenor'!C8-'python Backtest by tenor'!C8,IF('Backtest by tenor'!C8&amp;""='python Backtest by tenor'!C8&amp;"","","TEXT DIFF"))</f>
        <v/>
      </c>
      <c r="D22" s="1" t="str">
        <f aca="false">IF(AND(ISNUMBER('Backtest by tenor'!D8),ISNUMBER('python Backtest by tenor'!D8)),'Backtest by tenor'!D8-'python Backtest by tenor'!D8,IF('Backtest by tenor'!D8&amp;""='python Backtest by tenor'!D8&amp;"","","TEXT DIFF"))</f>
        <v/>
      </c>
      <c r="E22" s="1" t="str">
        <f aca="false">IF(AND(ISNUMBER('Backtest by tenor'!E8),ISNUMBER('python Backtest by tenor'!E8)),'Backtest by tenor'!E8-'python Backtest by tenor'!E8,IF('Backtest by tenor'!E8&amp;""='python Backtest by tenor'!E8&amp;"","","TEXT DIFF"))</f>
        <v/>
      </c>
      <c r="F22" s="1" t="str">
        <f aca="false">IF(AND(ISNUMBER('Backtest by tenor'!F8),ISNUMBER('python Backtest by tenor'!F8)),'Backtest by tenor'!F8-'python Backtest by tenor'!F8,IF('Backtest by tenor'!F8&amp;""='python Backtest by tenor'!F8&amp;"","","TEXT DIFF"))</f>
        <v/>
      </c>
      <c r="G22" s="1" t="str">
        <f aca="false">IF(AND(ISNUMBER('Backtest by tenor'!G8),ISNUMBER('python Backtest by tenor'!G8)),'Backtest by tenor'!G8-'python Backtest by tenor'!G8,IF('Backtest by tenor'!G8&amp;""='python Backtest by tenor'!G8&amp;"","","TEXT DIFF"))</f>
        <v/>
      </c>
      <c r="H22" s="1" t="str">
        <f aca="false">IF(AND(ISNUMBER('Backtest by tenor'!H8),ISNUMBER('python Backtest by tenor'!H8)),'Backtest by tenor'!H8-'python Backtest by tenor'!H8,IF('Backtest by tenor'!H8&amp;""='python Backtest by tenor'!H8&amp;"","","TEXT DIFF"))</f>
        <v/>
      </c>
      <c r="I22" s="1" t="str">
        <f aca="false">IF(AND(ISNUMBER('Backtest by tenor'!I8),ISNUMBER('python Backtest by tenor'!I8)),'Backtest by tenor'!I8-'python Backtest by tenor'!I8,IF('Backtest by tenor'!I8&amp;""='python Backtest by tenor'!I8&amp;"","","TEXT DIFF"))</f>
        <v/>
      </c>
      <c r="J22" s="1" t="str">
        <f aca="false">IF(AND(ISNUMBER('Backtest by tenor'!J8),ISNUMBER('python Backtest by tenor'!J8)),'Backtest by tenor'!J8-'python Backtest by tenor'!J8,IF('Backtest by tenor'!J8&amp;""='python Backtest by tenor'!J8&amp;"","","TEXT DIFF"))</f>
        <v/>
      </c>
      <c r="K22" s="1" t="str">
        <f aca="false">IF(AND(ISNUMBER('Backtest by tenor'!K8),ISNUMBER('python Backtest by tenor'!K8)),'Backtest by tenor'!K8-'python Backtest by tenor'!K8,IF('Backtest by tenor'!K8&amp;""='python Backtest by tenor'!K8&amp;"","","TEXT DIFF"))</f>
        <v/>
      </c>
      <c r="L22" s="1" t="str">
        <f aca="false">IF(AND(ISNUMBER('Backtest by tenor'!L8),ISNUMBER('python Backtest by tenor'!L8)),'Backtest by tenor'!L8-'python Backtest by tenor'!L8,IF('Backtest by tenor'!L8&amp;""='python Backtest by tenor'!L8&amp;"","","TEXT DIFF"))</f>
        <v/>
      </c>
      <c r="M22" s="1" t="str">
        <f aca="false">IF(AND(ISNUMBER('Backtest by tenor'!M8),ISNUMBER('python Backtest by tenor'!M8)),'Backtest by tenor'!M8-'python Backtest by tenor'!M8,IF('Backtest by tenor'!M8&amp;""='python Backtest by tenor'!M8&amp;"","","TEXT DIFF"))</f>
        <v/>
      </c>
      <c r="N22" s="1" t="str">
        <f aca="false">IF(AND(ISNUMBER('Backtest by tenor'!N8),ISNUMBER('python Backtest by tenor'!N8)),'Backtest by tenor'!N8-'python Backtest by tenor'!N8,IF('Backtest by tenor'!N8&amp;""='python Backtest by tenor'!N8&amp;"","","TEXT DIFF"))</f>
        <v/>
      </c>
      <c r="O22" s="1" t="str">
        <f aca="false">IF(AND(ISNUMBER('Backtest by tenor'!O8),ISNUMBER('python Backtest by tenor'!O8)),'Backtest by tenor'!O8-'python Backtest by tenor'!O8,IF('Backtest by tenor'!O8&amp;""='python Backtest by tenor'!O8&amp;"","","TEXT DIFF"))</f>
        <v/>
      </c>
      <c r="P22" s="1" t="str">
        <f aca="false">IF(AND(ISNUMBER('Backtest by tenor'!P8),ISNUMBER('python Backtest by tenor'!P8)),'Backtest by tenor'!P8-'python Backtest by tenor'!P8,IF('Backtest by tenor'!P8&amp;""='python Backtest by tenor'!P8&amp;"","","TEXT DIFF"))</f>
        <v/>
      </c>
      <c r="Q22" s="1" t="str">
        <f aca="false">IF(AND(ISNUMBER('Backtest by tenor'!Q8),ISNUMBER('python Backtest by tenor'!Q8)),'Backtest by tenor'!Q8-'python Backtest by tenor'!Q8,IF('Backtest by tenor'!Q8&amp;""='python Backtest by tenor'!Q8&amp;"","","TEXT DIFF"))</f>
        <v/>
      </c>
      <c r="R22" s="1" t="str">
        <f aca="false">IF(AND(ISNUMBER('Backtest by tenor'!R8),ISNUMBER('python Backtest by tenor'!R8)),'Backtest by tenor'!R8-'python Backtest by tenor'!R8,IF('Backtest by tenor'!R8&amp;""='python Backtest by tenor'!R8&amp;"","","TEXT DIFF"))</f>
        <v/>
      </c>
      <c r="S22" s="1" t="str">
        <f aca="false">IF(AND(ISNUMBER('Backtest by tenor'!S8),ISNUMBER('python Backtest by tenor'!S8)),'Backtest by tenor'!S8-'python Backtest by tenor'!S8,IF('Backtest by tenor'!S8&amp;""='python Backtest by tenor'!S8&amp;"","","TEXT DIFF"))</f>
        <v/>
      </c>
      <c r="T22" s="1" t="str">
        <f aca="false">IF(AND(ISNUMBER('Backtest by tenor'!T8),ISNUMBER('python Backtest by tenor'!T8)),'Backtest by tenor'!T8-'python Backtest by tenor'!T8,IF('Backtest by tenor'!T8&amp;""='python Backtest by tenor'!T8&amp;"","","TEXT DIFF"))</f>
        <v/>
      </c>
      <c r="U22" s="1" t="str">
        <f aca="false">IF(AND(ISNUMBER('Backtest by tenor'!U8),ISNUMBER('python Backtest by tenor'!U8)),'Backtest by tenor'!U8-'python Backtest by tenor'!U8,IF('Backtest by tenor'!U8&amp;""='python Backtest by tenor'!U8&amp;"","","TEXT DIFF"))</f>
        <v/>
      </c>
      <c r="V22" s="1" t="str">
        <f aca="false">IF(AND(ISNUMBER('Backtest by tenor'!V8),ISNUMBER('python Backtest by tenor'!V8)),'Backtest by tenor'!V8-'python Backtest by tenor'!V8,IF('Backtest by tenor'!V8&amp;""='python Backtest by tenor'!V8&amp;"","","TEXT DIFF"))</f>
        <v/>
      </c>
    </row>
    <row r="23" customFormat="false" ht="15" hidden="false" customHeight="false" outlineLevel="0" collapsed="false">
      <c r="A23" s="1" t="str">
        <f aca="false">IF(AND(ISNUMBER('Backtest by tenor'!A9),ISNUMBER('python Backtest by tenor'!A9)),'Backtest by tenor'!A9-'python Backtest by tenor'!A9,IF('Backtest by tenor'!A9&amp;""='python Backtest by tenor'!A9&amp;"","","TEXT DIFF"))</f>
        <v/>
      </c>
      <c r="B23" s="1" t="str">
        <f aca="false">IF(AND(ISNUMBER('Backtest by tenor'!B9),ISNUMBER('python Backtest by tenor'!B9)),'Backtest by tenor'!B9-'python Backtest by tenor'!B9,IF('Backtest by tenor'!B9&amp;""='python Backtest by tenor'!B9&amp;"","","TEXT DIFF"))</f>
        <v/>
      </c>
      <c r="C23" s="1" t="str">
        <f aca="false">IF(AND(ISNUMBER('Backtest by tenor'!C9),ISNUMBER('python Backtest by tenor'!C9)),'Backtest by tenor'!C9-'python Backtest by tenor'!C9,IF('Backtest by tenor'!C9&amp;""='python Backtest by tenor'!C9&amp;"","","TEXT DIFF"))</f>
        <v/>
      </c>
      <c r="D23" s="1" t="str">
        <f aca="false">IF(AND(ISNUMBER('Backtest by tenor'!D9),ISNUMBER('python Backtest by tenor'!D9)),'Backtest by tenor'!D9-'python Backtest by tenor'!D9,IF('Backtest by tenor'!D9&amp;""='python Backtest by tenor'!D9&amp;"","","TEXT DIFF"))</f>
        <v/>
      </c>
      <c r="E23" s="1" t="str">
        <f aca="false">IF(AND(ISNUMBER('Backtest by tenor'!E9),ISNUMBER('python Backtest by tenor'!E9)),'Backtest by tenor'!E9-'python Backtest by tenor'!E9,IF('Backtest by tenor'!E9&amp;""='python Backtest by tenor'!E9&amp;"","","TEXT DIFF"))</f>
        <v/>
      </c>
      <c r="F23" s="1" t="str">
        <f aca="false">IF(AND(ISNUMBER('Backtest by tenor'!F9),ISNUMBER('python Backtest by tenor'!F9)),'Backtest by tenor'!F9-'python Backtest by tenor'!F9,IF('Backtest by tenor'!F9&amp;""='python Backtest by tenor'!F9&amp;"","","TEXT DIFF"))</f>
        <v/>
      </c>
      <c r="G23" s="1" t="str">
        <f aca="false">IF(AND(ISNUMBER('Backtest by tenor'!G9),ISNUMBER('python Backtest by tenor'!G9)),'Backtest by tenor'!G9-'python Backtest by tenor'!G9,IF('Backtest by tenor'!G9&amp;""='python Backtest by tenor'!G9&amp;"","","TEXT DIFF"))</f>
        <v/>
      </c>
      <c r="H23" s="1" t="str">
        <f aca="false">IF(AND(ISNUMBER('Backtest by tenor'!H9),ISNUMBER('python Backtest by tenor'!H9)),'Backtest by tenor'!H9-'python Backtest by tenor'!H9,IF('Backtest by tenor'!H9&amp;""='python Backtest by tenor'!H9&amp;"","","TEXT DIFF"))</f>
        <v/>
      </c>
      <c r="I23" s="1" t="str">
        <f aca="false">IF(AND(ISNUMBER('Backtest by tenor'!I9),ISNUMBER('python Backtest by tenor'!I9)),'Backtest by tenor'!I9-'python Backtest by tenor'!I9,IF('Backtest by tenor'!I9&amp;""='python Backtest by tenor'!I9&amp;"","","TEXT DIFF"))</f>
        <v/>
      </c>
      <c r="J23" s="1" t="str">
        <f aca="false">IF(AND(ISNUMBER('Backtest by tenor'!J9),ISNUMBER('python Backtest by tenor'!J9)),'Backtest by tenor'!J9-'python Backtest by tenor'!J9,IF('Backtest by tenor'!J9&amp;""='python Backtest by tenor'!J9&amp;"","","TEXT DIFF"))</f>
        <v/>
      </c>
      <c r="K23" s="1" t="str">
        <f aca="false">IF(AND(ISNUMBER('Backtest by tenor'!K9),ISNUMBER('python Backtest by tenor'!K9)),'Backtest by tenor'!K9-'python Backtest by tenor'!K9,IF('Backtest by tenor'!K9&amp;""='python Backtest by tenor'!K9&amp;"","","TEXT DIFF"))</f>
        <v/>
      </c>
      <c r="L23" s="1" t="str">
        <f aca="false">IF(AND(ISNUMBER('Backtest by tenor'!L9),ISNUMBER('python Backtest by tenor'!L9)),'Backtest by tenor'!L9-'python Backtest by tenor'!L9,IF('Backtest by tenor'!L9&amp;""='python Backtest by tenor'!L9&amp;"","","TEXT DIFF"))</f>
        <v/>
      </c>
      <c r="M23" s="1" t="str">
        <f aca="false">IF(AND(ISNUMBER('Backtest by tenor'!M9),ISNUMBER('python Backtest by tenor'!M9)),'Backtest by tenor'!M9-'python Backtest by tenor'!M9,IF('Backtest by tenor'!M9&amp;""='python Backtest by tenor'!M9&amp;"","","TEXT DIFF"))</f>
        <v/>
      </c>
      <c r="N23" s="1" t="str">
        <f aca="false">IF(AND(ISNUMBER('Backtest by tenor'!N9),ISNUMBER('python Backtest by tenor'!N9)),'Backtest by tenor'!N9-'python Backtest by tenor'!N9,IF('Backtest by tenor'!N9&amp;""='python Backtest by tenor'!N9&amp;"","","TEXT DIFF"))</f>
        <v/>
      </c>
      <c r="O23" s="1" t="str">
        <f aca="false">IF(AND(ISNUMBER('Backtest by tenor'!O9),ISNUMBER('python Backtest by tenor'!O9)),'Backtest by tenor'!O9-'python Backtest by tenor'!O9,IF('Backtest by tenor'!O9&amp;""='python Backtest by tenor'!O9&amp;"","","TEXT DIFF"))</f>
        <v/>
      </c>
      <c r="P23" s="1" t="str">
        <f aca="false">IF(AND(ISNUMBER('Backtest by tenor'!P9),ISNUMBER('python Backtest by tenor'!P9)),'Backtest by tenor'!P9-'python Backtest by tenor'!P9,IF('Backtest by tenor'!P9&amp;""='python Backtest by tenor'!P9&amp;"","","TEXT DIFF"))</f>
        <v/>
      </c>
      <c r="Q23" s="1" t="str">
        <f aca="false">IF(AND(ISNUMBER('Backtest by tenor'!Q9),ISNUMBER('python Backtest by tenor'!Q9)),'Backtest by tenor'!Q9-'python Backtest by tenor'!Q9,IF('Backtest by tenor'!Q9&amp;""='python Backtest by tenor'!Q9&amp;"","","TEXT DIFF"))</f>
        <v/>
      </c>
      <c r="R23" s="1" t="str">
        <f aca="false">IF(AND(ISNUMBER('Backtest by tenor'!R9),ISNUMBER('python Backtest by tenor'!R9)),'Backtest by tenor'!R9-'python Backtest by tenor'!R9,IF('Backtest by tenor'!R9&amp;""='python Backtest by tenor'!R9&amp;"","","TEXT DIFF"))</f>
        <v/>
      </c>
      <c r="S23" s="1" t="str">
        <f aca="false">IF(AND(ISNUMBER('Backtest by tenor'!S9),ISNUMBER('python Backtest by tenor'!S9)),'Backtest by tenor'!S9-'python Backtest by tenor'!S9,IF('Backtest by tenor'!S9&amp;""='python Backtest by tenor'!S9&amp;"","","TEXT DIFF"))</f>
        <v/>
      </c>
      <c r="T23" s="1" t="str">
        <f aca="false">IF(AND(ISNUMBER('Backtest by tenor'!T9),ISNUMBER('python Backtest by tenor'!T9)),'Backtest by tenor'!T9-'python Backtest by tenor'!T9,IF('Backtest by tenor'!T9&amp;""='python Backtest by tenor'!T9&amp;"","","TEXT DIFF"))</f>
        <v/>
      </c>
      <c r="U23" s="1" t="str">
        <f aca="false">IF(AND(ISNUMBER('Backtest by tenor'!U9),ISNUMBER('python Backtest by tenor'!U9)),'Backtest by tenor'!U9-'python Backtest by tenor'!U9,IF('Backtest by tenor'!U9&amp;""='python Backtest by tenor'!U9&amp;"","","TEXT DIFF"))</f>
        <v/>
      </c>
      <c r="V23" s="1" t="str">
        <f aca="false">IF(AND(ISNUMBER('Backtest by tenor'!V9),ISNUMBER('python Backtest by tenor'!V9)),'Backtest by tenor'!V9-'python Backtest by tenor'!V9,IF('Backtest by tenor'!V9&amp;""='python Backtest by tenor'!V9&amp;"","","TEXT DIFF"))</f>
        <v/>
      </c>
    </row>
    <row r="24" customFormat="false" ht="15" hidden="false" customHeight="false" outlineLevel="0" collapsed="false">
      <c r="A24" s="1" t="str">
        <f aca="false">IF(AND(ISNUMBER('Backtest by tenor'!A10),ISNUMBER('python Backtest by tenor'!A10)),'Backtest by tenor'!A10-'python Backtest by tenor'!A10,IF('Backtest by tenor'!A10&amp;""='python Backtest by tenor'!A10&amp;"","","TEXT DIFF"))</f>
        <v/>
      </c>
      <c r="B24" s="1" t="str">
        <f aca="false">IF(AND(ISNUMBER('Backtest by tenor'!B10),ISNUMBER('python Backtest by tenor'!B10)),'Backtest by tenor'!B10-'python Backtest by tenor'!B10,IF('Backtest by tenor'!B10&amp;""='python Backtest by tenor'!B10&amp;"","","TEXT DIFF"))</f>
        <v/>
      </c>
      <c r="C24" s="1" t="str">
        <f aca="false">IF(AND(ISNUMBER('Backtest by tenor'!C10),ISNUMBER('python Backtest by tenor'!C10)),'Backtest by tenor'!C10-'python Backtest by tenor'!C10,IF('Backtest by tenor'!C10&amp;""='python Backtest by tenor'!C10&amp;"","","TEXT DIFF"))</f>
        <v/>
      </c>
      <c r="D24" s="1" t="str">
        <f aca="false">IF(AND(ISNUMBER('Backtest by tenor'!D10),ISNUMBER('python Backtest by tenor'!D10)),'Backtest by tenor'!D10-'python Backtest by tenor'!D10,IF('Backtest by tenor'!D10&amp;""='python Backtest by tenor'!D10&amp;"","","TEXT DIFF"))</f>
        <v/>
      </c>
      <c r="E24" s="3" t="n">
        <f aca="false">IF(AND(ISNUMBER('Backtest by tenor'!E10),ISNUMBER('python Backtest by tenor'!E10)),'Backtest by tenor'!E10-'python Backtest by tenor'!E10,IF('Backtest by tenor'!E10&amp;""='python Backtest by tenor'!E10&amp;"","","TEXT DIFF"))</f>
        <v>0</v>
      </c>
      <c r="F24" s="3" t="n">
        <f aca="false">IF(AND(ISNUMBER('Backtest by tenor'!F10),ISNUMBER('python Backtest by tenor'!F10)),'Backtest by tenor'!F10-'python Backtest by tenor'!F10,IF('Backtest by tenor'!F10&amp;""='python Backtest by tenor'!F10&amp;"","","TEXT DIFF"))</f>
        <v>0</v>
      </c>
      <c r="G24" s="3" t="n">
        <f aca="false">IF(AND(ISNUMBER('Backtest by tenor'!G10),ISNUMBER('python Backtest by tenor'!G10)),'Backtest by tenor'!G10-'python Backtest by tenor'!G10,IF('Backtest by tenor'!G10&amp;""='python Backtest by tenor'!G10&amp;"","","TEXT DIFF"))</f>
        <v>0</v>
      </c>
      <c r="H24" s="3" t="n">
        <f aca="false">IF(AND(ISNUMBER('Backtest by tenor'!H10),ISNUMBER('python Backtest by tenor'!H10)),'Backtest by tenor'!H10-'python Backtest by tenor'!H10,IF('Backtest by tenor'!H10&amp;""='python Backtest by tenor'!H10&amp;"","","TEXT DIFF"))</f>
        <v>0</v>
      </c>
      <c r="I24" s="3" t="n">
        <f aca="false">IF(AND(ISNUMBER('Backtest by tenor'!I10),ISNUMBER('python Backtest by tenor'!I10)),'Backtest by tenor'!I10-'python Backtest by tenor'!I10,IF('Backtest by tenor'!I10&amp;""='python Backtest by tenor'!I10&amp;"","","TEXT DIFF"))</f>
        <v>0</v>
      </c>
      <c r="J24" s="3" t="n">
        <f aca="false">IF(AND(ISNUMBER('Backtest by tenor'!J10),ISNUMBER('python Backtest by tenor'!J10)),'Backtest by tenor'!J10-'python Backtest by tenor'!J10,IF('Backtest by tenor'!J10&amp;""='python Backtest by tenor'!J10&amp;"","","TEXT DIFF"))</f>
        <v>0</v>
      </c>
      <c r="K24" s="3" t="n">
        <f aca="false">IF(AND(ISNUMBER('Backtest by tenor'!K10),ISNUMBER('python Backtest by tenor'!K10)),'Backtest by tenor'!K10-'python Backtest by tenor'!K10,IF('Backtest by tenor'!K10&amp;""='python Backtest by tenor'!K10&amp;"","","TEXT DIFF"))</f>
        <v>0</v>
      </c>
      <c r="L24" s="3" t="n">
        <f aca="false">IF(AND(ISNUMBER('Backtest by tenor'!L10),ISNUMBER('python Backtest by tenor'!L10)),'Backtest by tenor'!L10-'python Backtest by tenor'!L10,IF('Backtest by tenor'!L10&amp;""='python Backtest by tenor'!L10&amp;"","","TEXT DIFF"))</f>
        <v>0</v>
      </c>
      <c r="M24" s="3" t="n">
        <f aca="false">IF(AND(ISNUMBER('Backtest by tenor'!M10),ISNUMBER('python Backtest by tenor'!M10)),'Backtest by tenor'!M10-'python Backtest by tenor'!M10,IF('Backtest by tenor'!M10&amp;""='python Backtest by tenor'!M10&amp;"","","TEXT DIFF"))</f>
        <v>0</v>
      </c>
      <c r="N24" s="3" t="n">
        <f aca="false">IF(AND(ISNUMBER('Backtest by tenor'!N10),ISNUMBER('python Backtest by tenor'!N10)),'Backtest by tenor'!N10-'python Backtest by tenor'!N10,IF('Backtest by tenor'!N10&amp;""='python Backtest by tenor'!N10&amp;"","","TEXT DIFF"))</f>
        <v>0</v>
      </c>
      <c r="O24" s="3" t="n">
        <f aca="false">IF(AND(ISNUMBER('Backtest by tenor'!O10),ISNUMBER('python Backtest by tenor'!O10)),'Backtest by tenor'!O10-'python Backtest by tenor'!O10,IF('Backtest by tenor'!O10&amp;""='python Backtest by tenor'!O10&amp;"","","TEXT DIFF"))</f>
        <v>0</v>
      </c>
      <c r="P24" s="3" t="n">
        <f aca="false">IF(AND(ISNUMBER('Backtest by tenor'!P10),ISNUMBER('python Backtest by tenor'!P10)),'Backtest by tenor'!P10-'python Backtest by tenor'!P10,IF('Backtest by tenor'!P10&amp;""='python Backtest by tenor'!P10&amp;"","","TEXT DIFF"))</f>
        <v>0</v>
      </c>
      <c r="Q24" s="3" t="n">
        <f aca="false">IF(AND(ISNUMBER('Backtest by tenor'!Q10),ISNUMBER('python Backtest by tenor'!Q10)),'Backtest by tenor'!Q10-'python Backtest by tenor'!Q10,IF('Backtest by tenor'!Q10&amp;""='python Backtest by tenor'!Q10&amp;"","","TEXT DIFF"))</f>
        <v>0</v>
      </c>
      <c r="R24" s="3" t="n">
        <f aca="false">IF(AND(ISNUMBER('Backtest by tenor'!R10),ISNUMBER('python Backtest by tenor'!R10)),'Backtest by tenor'!R10-'python Backtest by tenor'!R10,IF('Backtest by tenor'!R10&amp;""='python Backtest by tenor'!R10&amp;"","","TEXT DIFF"))</f>
        <v>0</v>
      </c>
      <c r="S24" s="3" t="n">
        <f aca="false">IF(AND(ISNUMBER('Backtest by tenor'!S10),ISNUMBER('python Backtest by tenor'!S10)),'Backtest by tenor'!S10-'python Backtest by tenor'!S10,IF('Backtest by tenor'!S10&amp;""='python Backtest by tenor'!S10&amp;"","","TEXT DIFF"))</f>
        <v>0</v>
      </c>
      <c r="T24" s="3" t="n">
        <f aca="false">IF(AND(ISNUMBER('Backtest by tenor'!T10),ISNUMBER('python Backtest by tenor'!T10)),'Backtest by tenor'!T10-'python Backtest by tenor'!T10,IF('Backtest by tenor'!T10&amp;""='python Backtest by tenor'!T10&amp;"","","TEXT DIFF"))</f>
        <v>0</v>
      </c>
      <c r="U24" s="3" t="n">
        <f aca="false">IF(AND(ISNUMBER('Backtest by tenor'!U10),ISNUMBER('python Backtest by tenor'!U10)),'Backtest by tenor'!U10-'python Backtest by tenor'!U10,IF('Backtest by tenor'!U10&amp;""='python Backtest by tenor'!U10&amp;"","","TEXT DIFF"))</f>
        <v>0</v>
      </c>
      <c r="V24" s="3" t="n">
        <f aca="false">IF(AND(ISNUMBER('Backtest by tenor'!V10),ISNUMBER('python Backtest by tenor'!V10)),'Backtest by tenor'!V10-'python Backtest by tenor'!V10,IF('Backtest by tenor'!V10&amp;""='python Backtest by tenor'!V10&amp;"","","TEXT DIFF"))</f>
        <v>0</v>
      </c>
    </row>
    <row r="25" customFormat="false" ht="15" hidden="false" customHeight="false" outlineLevel="0" collapsed="false">
      <c r="A25" s="1" t="str">
        <f aca="false">IF(AND(ISNUMBER('Backtest by tenor'!A11),ISNUMBER('python Backtest by tenor'!A11)),'Backtest by tenor'!A11-'python Backtest by tenor'!A11,IF('Backtest by tenor'!A11&amp;""='python Backtest by tenor'!A11&amp;"","","TEXT DIFF"))</f>
        <v/>
      </c>
      <c r="B25" s="1" t="str">
        <f aca="false">IF(AND(ISNUMBER('Backtest by tenor'!B11),ISNUMBER('python Backtest by tenor'!B11)),'Backtest by tenor'!B11-'python Backtest by tenor'!B11,IF('Backtest by tenor'!B11&amp;""='python Backtest by tenor'!B11&amp;"","","TEXT DIFF"))</f>
        <v/>
      </c>
      <c r="C25" s="1" t="str">
        <f aca="false">IF(AND(ISNUMBER('Backtest by tenor'!C11),ISNUMBER('python Backtest by tenor'!C11)),'Backtest by tenor'!C11-'python Backtest by tenor'!C11,IF('Backtest by tenor'!C11&amp;""='python Backtest by tenor'!C11&amp;"","","TEXT DIFF"))</f>
        <v/>
      </c>
      <c r="D25" s="1" t="str">
        <f aca="false">IF(AND(ISNUMBER('Backtest by tenor'!D11),ISNUMBER('python Backtest by tenor'!D11)),'Backtest by tenor'!D11-'python Backtest by tenor'!D11,IF('Backtest by tenor'!D11&amp;""='python Backtest by tenor'!D11&amp;"","","TEXT DIFF"))</f>
        <v/>
      </c>
      <c r="E25" s="1" t="n">
        <f aca="false">IF(AND(ISNUMBER('Backtest by tenor'!E11),ISNUMBER('python Backtest by tenor'!E11)),'Backtest by tenor'!E11-'python Backtest by tenor'!E11,IF('Backtest by tenor'!E11&amp;""='python Backtest by tenor'!E11&amp;"","","TEXT DIFF"))</f>
        <v>0</v>
      </c>
      <c r="F25" s="1" t="n">
        <f aca="false">IF(AND(ISNUMBER('Backtest by tenor'!F11),ISNUMBER('python Backtest by tenor'!F11)),'Backtest by tenor'!F11-'python Backtest by tenor'!F11,IF('Backtest by tenor'!F11&amp;""='python Backtest by tenor'!F11&amp;"","","TEXT DIFF"))</f>
        <v>0</v>
      </c>
      <c r="G25" s="1" t="n">
        <f aca="false">IF(AND(ISNUMBER('Backtest by tenor'!G11),ISNUMBER('python Backtest by tenor'!G11)),'Backtest by tenor'!G11-'python Backtest by tenor'!G11,IF('Backtest by tenor'!G11&amp;""='python Backtest by tenor'!G11&amp;"","","TEXT DIFF"))</f>
        <v>0</v>
      </c>
      <c r="H25" s="1" t="n">
        <f aca="false">IF(AND(ISNUMBER('Backtest by tenor'!H11),ISNUMBER('python Backtest by tenor'!H11)),'Backtest by tenor'!H11-'python Backtest by tenor'!H11,IF('Backtest by tenor'!H11&amp;""='python Backtest by tenor'!H11&amp;"","","TEXT DIFF"))</f>
        <v>0</v>
      </c>
      <c r="I25" s="1" t="n">
        <f aca="false">IF(AND(ISNUMBER('Backtest by tenor'!I11),ISNUMBER('python Backtest by tenor'!I11)),'Backtest by tenor'!I11-'python Backtest by tenor'!I11,IF('Backtest by tenor'!I11&amp;""='python Backtest by tenor'!I11&amp;"","","TEXT DIFF"))</f>
        <v>0</v>
      </c>
      <c r="J25" s="1" t="n">
        <f aca="false">IF(AND(ISNUMBER('Backtest by tenor'!J11),ISNUMBER('python Backtest by tenor'!J11)),'Backtest by tenor'!J11-'python Backtest by tenor'!J11,IF('Backtest by tenor'!J11&amp;""='python Backtest by tenor'!J11&amp;"","","TEXT DIFF"))</f>
        <v>0</v>
      </c>
      <c r="K25" s="1" t="n">
        <f aca="false">IF(AND(ISNUMBER('Backtest by tenor'!K11),ISNUMBER('python Backtest by tenor'!K11)),'Backtest by tenor'!K11-'python Backtest by tenor'!K11,IF('Backtest by tenor'!K11&amp;""='python Backtest by tenor'!K11&amp;"","","TEXT DIFF"))</f>
        <v>0</v>
      </c>
      <c r="L25" s="1" t="n">
        <f aca="false">IF(AND(ISNUMBER('Backtest by tenor'!L11),ISNUMBER('python Backtest by tenor'!L11)),'Backtest by tenor'!L11-'python Backtest by tenor'!L11,IF('Backtest by tenor'!L11&amp;""='python Backtest by tenor'!L11&amp;"","","TEXT DIFF"))</f>
        <v>0</v>
      </c>
      <c r="M25" s="1" t="n">
        <f aca="false">IF(AND(ISNUMBER('Backtest by tenor'!M11),ISNUMBER('python Backtest by tenor'!M11)),'Backtest by tenor'!M11-'python Backtest by tenor'!M11,IF('Backtest by tenor'!M11&amp;""='python Backtest by tenor'!M11&amp;"","","TEXT DIFF"))</f>
        <v>0</v>
      </c>
      <c r="N25" s="1" t="n">
        <f aca="false">IF(AND(ISNUMBER('Backtest by tenor'!N11),ISNUMBER('python Backtest by tenor'!N11)),'Backtest by tenor'!N11-'python Backtest by tenor'!N11,IF('Backtest by tenor'!N11&amp;""='python Backtest by tenor'!N11&amp;"","","TEXT DIFF"))</f>
        <v>0</v>
      </c>
      <c r="O25" s="1" t="n">
        <f aca="false">IF(AND(ISNUMBER('Backtest by tenor'!O11),ISNUMBER('python Backtest by tenor'!O11)),'Backtest by tenor'!O11-'python Backtest by tenor'!O11,IF('Backtest by tenor'!O11&amp;""='python Backtest by tenor'!O11&amp;"","","TEXT DIFF"))</f>
        <v>0</v>
      </c>
      <c r="P25" s="1" t="n">
        <f aca="false">IF(AND(ISNUMBER('Backtest by tenor'!P11),ISNUMBER('python Backtest by tenor'!P11)),'Backtest by tenor'!P11-'python Backtest by tenor'!P11,IF('Backtest by tenor'!P11&amp;""='python Backtest by tenor'!P11&amp;"","","TEXT DIFF"))</f>
        <v>0</v>
      </c>
      <c r="Q25" s="1" t="n">
        <f aca="false">IF(AND(ISNUMBER('Backtest by tenor'!Q11),ISNUMBER('python Backtest by tenor'!Q11)),'Backtest by tenor'!Q11-'python Backtest by tenor'!Q11,IF('Backtest by tenor'!Q11&amp;""='python Backtest by tenor'!Q11&amp;"","","TEXT DIFF"))</f>
        <v>0</v>
      </c>
      <c r="R25" s="1" t="n">
        <f aca="false">IF(AND(ISNUMBER('Backtest by tenor'!R11),ISNUMBER('python Backtest by tenor'!R11)),'Backtest by tenor'!R11-'python Backtest by tenor'!R11,IF('Backtest by tenor'!R11&amp;""='python Backtest by tenor'!R11&amp;"","","TEXT DIFF"))</f>
        <v>0</v>
      </c>
      <c r="S25" s="1" t="n">
        <f aca="false">IF(AND(ISNUMBER('Backtest by tenor'!S11),ISNUMBER('python Backtest by tenor'!S11)),'Backtest by tenor'!S11-'python Backtest by tenor'!S11,IF('Backtest by tenor'!S11&amp;""='python Backtest by tenor'!S11&amp;"","","TEXT DIFF"))</f>
        <v>0</v>
      </c>
      <c r="T25" s="1" t="n">
        <f aca="false">IF(AND(ISNUMBER('Backtest by tenor'!T11),ISNUMBER('python Backtest by tenor'!T11)),'Backtest by tenor'!T11-'python Backtest by tenor'!T11,IF('Backtest by tenor'!T11&amp;""='python Backtest by tenor'!T11&amp;"","","TEXT DIFF"))</f>
        <v>0</v>
      </c>
      <c r="U25" s="1" t="n">
        <f aca="false">IF(AND(ISNUMBER('Backtest by tenor'!U11),ISNUMBER('python Backtest by tenor'!U11)),'Backtest by tenor'!U11-'python Backtest by tenor'!U11,IF('Backtest by tenor'!U11&amp;""='python Backtest by tenor'!U11&amp;"","","TEXT DIFF"))</f>
        <v>0</v>
      </c>
      <c r="V25" s="1" t="n">
        <f aca="false">IF(AND(ISNUMBER('Backtest by tenor'!V11),ISNUMBER('python Backtest by tenor'!V11)),'Backtest by tenor'!V11-'python Backtest by tenor'!V11,IF('Backtest by tenor'!V11&amp;""='python Backtest by tenor'!V11&amp;"","","TEXT DIFF"))</f>
        <v>0</v>
      </c>
    </row>
    <row r="26" customFormat="false" ht="15" hidden="false" customHeight="false" outlineLevel="0" collapsed="false">
      <c r="A26" s="1" t="str">
        <f aca="false">IF(AND(ISNUMBER('Backtest by tenor'!A12),ISNUMBER('python Backtest by tenor'!A12)),'Backtest by tenor'!A12-'python Backtest by tenor'!A12,IF('Backtest by tenor'!A12&amp;""='python Backtest by tenor'!A12&amp;"","","TEXT DIFF"))</f>
        <v/>
      </c>
      <c r="B26" s="1" t="str">
        <f aca="false">IF(AND(ISNUMBER('Backtest by tenor'!B12),ISNUMBER('python Backtest by tenor'!B12)),'Backtest by tenor'!B12-'python Backtest by tenor'!B12,IF('Backtest by tenor'!B12&amp;""='python Backtest by tenor'!B12&amp;"","","TEXT DIFF"))</f>
        <v/>
      </c>
      <c r="C26" s="1" t="str">
        <f aca="false">IF(AND(ISNUMBER('Backtest by tenor'!C12),ISNUMBER('python Backtest by tenor'!C12)),'Backtest by tenor'!C12-'python Backtest by tenor'!C12,IF('Backtest by tenor'!C12&amp;""='python Backtest by tenor'!C12&amp;"","","TEXT DIFF"))</f>
        <v/>
      </c>
      <c r="D26" s="1" t="str">
        <f aca="false">IF(AND(ISNUMBER('Backtest by tenor'!D12),ISNUMBER('python Backtest by tenor'!D12)),'Backtest by tenor'!D12-'python Backtest by tenor'!D12,IF('Backtest by tenor'!D12&amp;""='python Backtest by tenor'!D12&amp;"","","TEXT DIFF"))</f>
        <v/>
      </c>
      <c r="E26" s="3" t="n">
        <f aca="false">IF(AND(ISNUMBER('Backtest by tenor'!E12),ISNUMBER('python Backtest by tenor'!E12)),'Backtest by tenor'!E12-'python Backtest by tenor'!E12,IF('Backtest by tenor'!E12&amp;""='python Backtest by tenor'!E12&amp;"","","TEXT DIFF"))</f>
        <v>0</v>
      </c>
      <c r="F26" s="3" t="n">
        <f aca="false">IF(AND(ISNUMBER('Backtest by tenor'!F12),ISNUMBER('python Backtest by tenor'!F12)),'Backtest by tenor'!F12-'python Backtest by tenor'!F12,IF('Backtest by tenor'!F12&amp;""='python Backtest by tenor'!F12&amp;"","","TEXT DIFF"))</f>
        <v>0</v>
      </c>
      <c r="G26" s="3" t="n">
        <f aca="false">IF(AND(ISNUMBER('Backtest by tenor'!G12),ISNUMBER('python Backtest by tenor'!G12)),'Backtest by tenor'!G12-'python Backtest by tenor'!G12,IF('Backtest by tenor'!G12&amp;""='python Backtest by tenor'!G12&amp;"","","TEXT DIFF"))</f>
        <v>0</v>
      </c>
      <c r="H26" s="3" t="n">
        <f aca="false">IF(AND(ISNUMBER('Backtest by tenor'!H12),ISNUMBER('python Backtest by tenor'!H12)),'Backtest by tenor'!H12-'python Backtest by tenor'!H12,IF('Backtest by tenor'!H12&amp;""='python Backtest by tenor'!H12&amp;"","","TEXT DIFF"))</f>
        <v>0</v>
      </c>
      <c r="I26" s="3" t="n">
        <f aca="false">IF(AND(ISNUMBER('Backtest by tenor'!I12),ISNUMBER('python Backtest by tenor'!I12)),'Backtest by tenor'!I12-'python Backtest by tenor'!I12,IF('Backtest by tenor'!I12&amp;""='python Backtest by tenor'!I12&amp;"","","TEXT DIFF"))</f>
        <v>0</v>
      </c>
      <c r="J26" s="3" t="n">
        <f aca="false">IF(AND(ISNUMBER('Backtest by tenor'!J12),ISNUMBER('python Backtest by tenor'!J12)),'Backtest by tenor'!J12-'python Backtest by tenor'!J12,IF('Backtest by tenor'!J12&amp;""='python Backtest by tenor'!J12&amp;"","","TEXT DIFF"))</f>
        <v>0</v>
      </c>
      <c r="K26" s="3" t="n">
        <f aca="false">IF(AND(ISNUMBER('Backtest by tenor'!K12),ISNUMBER('python Backtest by tenor'!K12)),'Backtest by tenor'!K12-'python Backtest by tenor'!K12,IF('Backtest by tenor'!K12&amp;""='python Backtest by tenor'!K12&amp;"","","TEXT DIFF"))</f>
        <v>0</v>
      </c>
      <c r="L26" s="3" t="n">
        <f aca="false">IF(AND(ISNUMBER('Backtest by tenor'!L12),ISNUMBER('python Backtest by tenor'!L12)),'Backtest by tenor'!L12-'python Backtest by tenor'!L12,IF('Backtest by tenor'!L12&amp;""='python Backtest by tenor'!L12&amp;"","","TEXT DIFF"))</f>
        <v>0</v>
      </c>
      <c r="M26" s="3" t="n">
        <f aca="false">IF(AND(ISNUMBER('Backtest by tenor'!M12),ISNUMBER('python Backtest by tenor'!M12)),'Backtest by tenor'!M12-'python Backtest by tenor'!M12,IF('Backtest by tenor'!M12&amp;""='python Backtest by tenor'!M12&amp;"","","TEXT DIFF"))</f>
        <v>0</v>
      </c>
      <c r="N26" s="3" t="n">
        <f aca="false">IF(AND(ISNUMBER('Backtest by tenor'!N12),ISNUMBER('python Backtest by tenor'!N12)),'Backtest by tenor'!N12-'python Backtest by tenor'!N12,IF('Backtest by tenor'!N12&amp;""='python Backtest by tenor'!N12&amp;"","","TEXT DIFF"))</f>
        <v>0</v>
      </c>
      <c r="O26" s="3" t="n">
        <f aca="false">IF(AND(ISNUMBER('Backtest by tenor'!O12),ISNUMBER('python Backtest by tenor'!O12)),'Backtest by tenor'!O12-'python Backtest by tenor'!O12,IF('Backtest by tenor'!O12&amp;""='python Backtest by tenor'!O12&amp;"","","TEXT DIFF"))</f>
        <v>0</v>
      </c>
      <c r="P26" s="3" t="n">
        <f aca="false">IF(AND(ISNUMBER('Backtest by tenor'!P12),ISNUMBER('python Backtest by tenor'!P12)),'Backtest by tenor'!P12-'python Backtest by tenor'!P12,IF('Backtest by tenor'!P12&amp;""='python Backtest by tenor'!P12&amp;"","","TEXT DIFF"))</f>
        <v>0</v>
      </c>
      <c r="Q26" s="3" t="n">
        <f aca="false">IF(AND(ISNUMBER('Backtest by tenor'!Q12),ISNUMBER('python Backtest by tenor'!Q12)),'Backtest by tenor'!Q12-'python Backtest by tenor'!Q12,IF('Backtest by tenor'!Q12&amp;""='python Backtest by tenor'!Q12&amp;"","","TEXT DIFF"))</f>
        <v>0</v>
      </c>
      <c r="R26" s="3" t="n">
        <f aca="false">IF(AND(ISNUMBER('Backtest by tenor'!R12),ISNUMBER('python Backtest by tenor'!R12)),'Backtest by tenor'!R12-'python Backtest by tenor'!R12,IF('Backtest by tenor'!R12&amp;""='python Backtest by tenor'!R12&amp;"","","TEXT DIFF"))</f>
        <v>0</v>
      </c>
      <c r="S26" s="3" t="n">
        <f aca="false">IF(AND(ISNUMBER('Backtest by tenor'!S12),ISNUMBER('python Backtest by tenor'!S12)),'Backtest by tenor'!S12-'python Backtest by tenor'!S12,IF('Backtest by tenor'!S12&amp;""='python Backtest by tenor'!S12&amp;"","","TEXT DIFF"))</f>
        <v>0</v>
      </c>
      <c r="T26" s="3" t="n">
        <f aca="false">IF(AND(ISNUMBER('Backtest by tenor'!T12),ISNUMBER('python Backtest by tenor'!T12)),'Backtest by tenor'!T12-'python Backtest by tenor'!T12,IF('Backtest by tenor'!T12&amp;""='python Backtest by tenor'!T12&amp;"","","TEXT DIFF"))</f>
        <v>0</v>
      </c>
      <c r="U26" s="3" t="n">
        <f aca="false">IF(AND(ISNUMBER('Backtest by tenor'!U12),ISNUMBER('python Backtest by tenor'!U12)),'Backtest by tenor'!U12-'python Backtest by tenor'!U12,IF('Backtest by tenor'!U12&amp;""='python Backtest by tenor'!U12&amp;"","","TEXT DIFF"))</f>
        <v>0</v>
      </c>
      <c r="V26" s="3" t="n">
        <f aca="false">IF(AND(ISNUMBER('Backtest by tenor'!V12),ISNUMBER('python Backtest by tenor'!V12)),'Backtest by tenor'!V12-'python Backtest by tenor'!V12,IF('Backtest by tenor'!V12&amp;""='python Backtest by tenor'!V12&amp;"","","TEXT DIFF"))</f>
        <v>0</v>
      </c>
    </row>
    <row r="27" customFormat="false" ht="15" hidden="false" customHeight="false" outlineLevel="0" collapsed="false">
      <c r="A27" s="1" t="str">
        <f aca="false">IF(AND(ISNUMBER('Backtest by tenor'!A13),ISNUMBER('python Backtest by tenor'!A13)),'Backtest by tenor'!A13-'python Backtest by tenor'!A13,IF('Backtest by tenor'!A13&amp;""='python Backtest by tenor'!A13&amp;"","","TEXT DIFF"))</f>
        <v/>
      </c>
      <c r="B27" s="1" t="str">
        <f aca="false">IF(AND(ISNUMBER('Backtest by tenor'!B13),ISNUMBER('python Backtest by tenor'!B13)),'Backtest by tenor'!B13-'python Backtest by tenor'!B13,IF('Backtest by tenor'!B13&amp;""='python Backtest by tenor'!B13&amp;"","","TEXT DIFF"))</f>
        <v/>
      </c>
      <c r="C27" s="1" t="str">
        <f aca="false">IF(AND(ISNUMBER('Backtest by tenor'!C13),ISNUMBER('python Backtest by tenor'!C13)),'Backtest by tenor'!C13-'python Backtest by tenor'!C13,IF('Backtest by tenor'!C13&amp;""='python Backtest by tenor'!C13&amp;"","","TEXT DIFF"))</f>
        <v/>
      </c>
      <c r="D27" s="1" t="str">
        <f aca="false">IF(AND(ISNUMBER('Backtest by tenor'!D13),ISNUMBER('python Backtest by tenor'!D13)),'Backtest by tenor'!D13-'python Backtest by tenor'!D13,IF('Backtest by tenor'!D13&amp;""='python Backtest by tenor'!D13&amp;"","","TEXT DIFF"))</f>
        <v/>
      </c>
      <c r="E27" s="3" t="n">
        <f aca="false">IF(AND(ISNUMBER('Backtest by tenor'!E13),ISNUMBER('python Backtest by tenor'!E13)),'Backtest by tenor'!E13-'python Backtest by tenor'!E13,IF('Backtest by tenor'!E13&amp;""='python Backtest by tenor'!E13&amp;"","","TEXT DIFF"))</f>
        <v>0</v>
      </c>
      <c r="F27" s="3" t="n">
        <f aca="false">IF(AND(ISNUMBER('Backtest by tenor'!F13),ISNUMBER('python Backtest by tenor'!F13)),'Backtest by tenor'!F13-'python Backtest by tenor'!F13,IF('Backtest by tenor'!F13&amp;""='python Backtest by tenor'!F13&amp;"","","TEXT DIFF"))</f>
        <v>0</v>
      </c>
      <c r="G27" s="3" t="n">
        <f aca="false">IF(AND(ISNUMBER('Backtest by tenor'!G13),ISNUMBER('python Backtest by tenor'!G13)),'Backtest by tenor'!G13-'python Backtest by tenor'!G13,IF('Backtest by tenor'!G13&amp;""='python Backtest by tenor'!G13&amp;"","","TEXT DIFF"))</f>
        <v>0</v>
      </c>
      <c r="H27" s="3" t="n">
        <f aca="false">IF(AND(ISNUMBER('Backtest by tenor'!H13),ISNUMBER('python Backtest by tenor'!H13)),'Backtest by tenor'!H13-'python Backtest by tenor'!H13,IF('Backtest by tenor'!H13&amp;""='python Backtest by tenor'!H13&amp;"","","TEXT DIFF"))</f>
        <v>0</v>
      </c>
      <c r="I27" s="3" t="n">
        <f aca="false">IF(AND(ISNUMBER('Backtest by tenor'!I13),ISNUMBER('python Backtest by tenor'!I13)),'Backtest by tenor'!I13-'python Backtest by tenor'!I13,IF('Backtest by tenor'!I13&amp;""='python Backtest by tenor'!I13&amp;"","","TEXT DIFF"))</f>
        <v>0</v>
      </c>
      <c r="J27" s="3" t="n">
        <f aca="false">IF(AND(ISNUMBER('Backtest by tenor'!J13),ISNUMBER('python Backtest by tenor'!J13)),'Backtest by tenor'!J13-'python Backtest by tenor'!J13,IF('Backtest by tenor'!J13&amp;""='python Backtest by tenor'!J13&amp;"","","TEXT DIFF"))</f>
        <v>0</v>
      </c>
      <c r="K27" s="3" t="n">
        <f aca="false">IF(AND(ISNUMBER('Backtest by tenor'!K13),ISNUMBER('python Backtest by tenor'!K13)),'Backtest by tenor'!K13-'python Backtest by tenor'!K13,IF('Backtest by tenor'!K13&amp;""='python Backtest by tenor'!K13&amp;"","","TEXT DIFF"))</f>
        <v>0</v>
      </c>
      <c r="L27" s="3" t="n">
        <f aca="false">IF(AND(ISNUMBER('Backtest by tenor'!L13),ISNUMBER('python Backtest by tenor'!L13)),'Backtest by tenor'!L13-'python Backtest by tenor'!L13,IF('Backtest by tenor'!L13&amp;""='python Backtest by tenor'!L13&amp;"","","TEXT DIFF"))</f>
        <v>0</v>
      </c>
      <c r="M27" s="3" t="n">
        <f aca="false">IF(AND(ISNUMBER('Backtest by tenor'!M13),ISNUMBER('python Backtest by tenor'!M13)),'Backtest by tenor'!M13-'python Backtest by tenor'!M13,IF('Backtest by tenor'!M13&amp;""='python Backtest by tenor'!M13&amp;"","","TEXT DIFF"))</f>
        <v>0</v>
      </c>
      <c r="N27" s="3" t="n">
        <f aca="false">IF(AND(ISNUMBER('Backtest by tenor'!N13),ISNUMBER('python Backtest by tenor'!N13)),'Backtest by tenor'!N13-'python Backtest by tenor'!N13,IF('Backtest by tenor'!N13&amp;""='python Backtest by tenor'!N13&amp;"","","TEXT DIFF"))</f>
        <v>0</v>
      </c>
      <c r="O27" s="3" t="n">
        <f aca="false">IF(AND(ISNUMBER('Backtest by tenor'!O13),ISNUMBER('python Backtest by tenor'!O13)),'Backtest by tenor'!O13-'python Backtest by tenor'!O13,IF('Backtest by tenor'!O13&amp;""='python Backtest by tenor'!O13&amp;"","","TEXT DIFF"))</f>
        <v>0</v>
      </c>
      <c r="P27" s="3" t="n">
        <f aca="false">IF(AND(ISNUMBER('Backtest by tenor'!P13),ISNUMBER('python Backtest by tenor'!P13)),'Backtest by tenor'!P13-'python Backtest by tenor'!P13,IF('Backtest by tenor'!P13&amp;""='python Backtest by tenor'!P13&amp;"","","TEXT DIFF"))</f>
        <v>0</v>
      </c>
      <c r="Q27" s="3" t="n">
        <f aca="false">IF(AND(ISNUMBER('Backtest by tenor'!Q13),ISNUMBER('python Backtest by tenor'!Q13)),'Backtest by tenor'!Q13-'python Backtest by tenor'!Q13,IF('Backtest by tenor'!Q13&amp;""='python Backtest by tenor'!Q13&amp;"","","TEXT DIFF"))</f>
        <v>0</v>
      </c>
      <c r="R27" s="3" t="n">
        <f aca="false">IF(AND(ISNUMBER('Backtest by tenor'!R13),ISNUMBER('python Backtest by tenor'!R13)),'Backtest by tenor'!R13-'python Backtest by tenor'!R13,IF('Backtest by tenor'!R13&amp;""='python Backtest by tenor'!R13&amp;"","","TEXT DIFF"))</f>
        <v>0</v>
      </c>
      <c r="S27" s="3" t="n">
        <f aca="false">IF(AND(ISNUMBER('Backtest by tenor'!S13),ISNUMBER('python Backtest by tenor'!S13)),'Backtest by tenor'!S13-'python Backtest by tenor'!S13,IF('Backtest by tenor'!S13&amp;""='python Backtest by tenor'!S13&amp;"","","TEXT DIFF"))</f>
        <v>0</v>
      </c>
      <c r="T27" s="3" t="n">
        <f aca="false">IF(AND(ISNUMBER('Backtest by tenor'!T13),ISNUMBER('python Backtest by tenor'!T13)),'Backtest by tenor'!T13-'python Backtest by tenor'!T13,IF('Backtest by tenor'!T13&amp;""='python Backtest by tenor'!T13&amp;"","","TEXT DIFF"))</f>
        <v>0</v>
      </c>
      <c r="U27" s="3" t="n">
        <f aca="false">IF(AND(ISNUMBER('Backtest by tenor'!U13),ISNUMBER('python Backtest by tenor'!U13)),'Backtest by tenor'!U13-'python Backtest by tenor'!U13,IF('Backtest by tenor'!U13&amp;""='python Backtest by tenor'!U13&amp;"","","TEXT DIFF"))</f>
        <v>0</v>
      </c>
      <c r="V27" s="3" t="n">
        <f aca="false">IF(AND(ISNUMBER('Backtest by tenor'!V13),ISNUMBER('python Backtest by tenor'!V13)),'Backtest by tenor'!V13-'python Backtest by tenor'!V13,IF('Backtest by tenor'!V13&amp;""='python Backtest by tenor'!V13&amp;"","","TEXT DIFF"))</f>
        <v>0</v>
      </c>
    </row>
    <row r="28" customFormat="false" ht="15" hidden="false" customHeight="false" outlineLevel="0" collapsed="false">
      <c r="A28" s="1" t="str">
        <f aca="false">IF(AND(ISNUMBER('Backtest by tenor'!A14),ISNUMBER('python Backtest by tenor'!A14)),'Backtest by tenor'!A14-'python Backtest by tenor'!A14,IF('Backtest by tenor'!A14&amp;""='python Backtest by tenor'!A14&amp;"","","TEXT DIFF"))</f>
        <v/>
      </c>
      <c r="B28" s="1" t="str">
        <f aca="false">IF(AND(ISNUMBER('Backtest by tenor'!B14),ISNUMBER('python Backtest by tenor'!B14)),'Backtest by tenor'!B14-'python Backtest by tenor'!B14,IF('Backtest by tenor'!B14&amp;""='python Backtest by tenor'!B14&amp;"","","TEXT DIFF"))</f>
        <v/>
      </c>
      <c r="C28" s="1" t="str">
        <f aca="false">IF(AND(ISNUMBER('Backtest by tenor'!C14),ISNUMBER('python Backtest by tenor'!C14)),'Backtest by tenor'!C14-'python Backtest by tenor'!C14,IF('Backtest by tenor'!C14&amp;""='python Backtest by tenor'!C14&amp;"","","TEXT DIFF"))</f>
        <v/>
      </c>
      <c r="D28" s="1" t="str">
        <f aca="false">IF(AND(ISNUMBER('Backtest by tenor'!D14),ISNUMBER('python Backtest by tenor'!D14)),'Backtest by tenor'!D14-'python Backtest by tenor'!D14,IF('Backtest by tenor'!D14&amp;""='python Backtest by tenor'!D14&amp;"","","TEXT DIFF"))</f>
        <v/>
      </c>
      <c r="E28" s="3" t="n">
        <f aca="false">IF(AND(ISNUMBER('Backtest by tenor'!E14),ISNUMBER('python Backtest by tenor'!E14)),'Backtest by tenor'!E14-'python Backtest by tenor'!E14,IF('Backtest by tenor'!E14&amp;""='python Backtest by tenor'!E14&amp;"","","TEXT DIFF"))</f>
        <v>0</v>
      </c>
      <c r="F28" s="3" t="n">
        <f aca="false">IF(AND(ISNUMBER('Backtest by tenor'!F14),ISNUMBER('python Backtest by tenor'!F14)),'Backtest by tenor'!F14-'python Backtest by tenor'!F14,IF('Backtest by tenor'!F14&amp;""='python Backtest by tenor'!F14&amp;"","","TEXT DIFF"))</f>
        <v>0</v>
      </c>
      <c r="G28" s="3" t="n">
        <f aca="false">IF(AND(ISNUMBER('Backtest by tenor'!G14),ISNUMBER('python Backtest by tenor'!G14)),'Backtest by tenor'!G14-'python Backtest by tenor'!G14,IF('Backtest by tenor'!G14&amp;""='python Backtest by tenor'!G14&amp;"","","TEXT DIFF"))</f>
        <v>0</v>
      </c>
      <c r="H28" s="3" t="n">
        <f aca="false">IF(AND(ISNUMBER('Backtest by tenor'!H14),ISNUMBER('python Backtest by tenor'!H14)),'Backtest by tenor'!H14-'python Backtest by tenor'!H14,IF('Backtest by tenor'!H14&amp;""='python Backtest by tenor'!H14&amp;"","","TEXT DIFF"))</f>
        <v>0</v>
      </c>
      <c r="I28" s="3" t="n">
        <f aca="false">IF(AND(ISNUMBER('Backtest by tenor'!I14),ISNUMBER('python Backtest by tenor'!I14)),'Backtest by tenor'!I14-'python Backtest by tenor'!I14,IF('Backtest by tenor'!I14&amp;""='python Backtest by tenor'!I14&amp;"","","TEXT DIFF"))</f>
        <v>0</v>
      </c>
      <c r="J28" s="3" t="n">
        <f aca="false">IF(AND(ISNUMBER('Backtest by tenor'!J14),ISNUMBER('python Backtest by tenor'!J14)),'Backtest by tenor'!J14-'python Backtest by tenor'!J14,IF('Backtest by tenor'!J14&amp;""='python Backtest by tenor'!J14&amp;"","","TEXT DIFF"))</f>
        <v>0</v>
      </c>
      <c r="K28" s="3" t="n">
        <f aca="false">IF(AND(ISNUMBER('Backtest by tenor'!K14),ISNUMBER('python Backtest by tenor'!K14)),'Backtest by tenor'!K14-'python Backtest by tenor'!K14,IF('Backtest by tenor'!K14&amp;""='python Backtest by tenor'!K14&amp;"","","TEXT DIFF"))</f>
        <v>0</v>
      </c>
      <c r="L28" s="3" t="n">
        <f aca="false">IF(AND(ISNUMBER('Backtest by tenor'!L14),ISNUMBER('python Backtest by tenor'!L14)),'Backtest by tenor'!L14-'python Backtest by tenor'!L14,IF('Backtest by tenor'!L14&amp;""='python Backtest by tenor'!L14&amp;"","","TEXT DIFF"))</f>
        <v>0</v>
      </c>
      <c r="M28" s="3" t="n">
        <f aca="false">IF(AND(ISNUMBER('Backtest by tenor'!M14),ISNUMBER('python Backtest by tenor'!M14)),'Backtest by tenor'!M14-'python Backtest by tenor'!M14,IF('Backtest by tenor'!M14&amp;""='python Backtest by tenor'!M14&amp;"","","TEXT DIFF"))</f>
        <v>0</v>
      </c>
      <c r="N28" s="3" t="n">
        <f aca="false">IF(AND(ISNUMBER('Backtest by tenor'!N14),ISNUMBER('python Backtest by tenor'!N14)),'Backtest by tenor'!N14-'python Backtest by tenor'!N14,IF('Backtest by tenor'!N14&amp;""='python Backtest by tenor'!N14&amp;"","","TEXT DIFF"))</f>
        <v>0</v>
      </c>
      <c r="O28" s="3" t="n">
        <f aca="false">IF(AND(ISNUMBER('Backtest by tenor'!O14),ISNUMBER('python Backtest by tenor'!O14)),'Backtest by tenor'!O14-'python Backtest by tenor'!O14,IF('Backtest by tenor'!O14&amp;""='python Backtest by tenor'!O14&amp;"","","TEXT DIFF"))</f>
        <v>0</v>
      </c>
      <c r="P28" s="3" t="n">
        <f aca="false">IF(AND(ISNUMBER('Backtest by tenor'!P14),ISNUMBER('python Backtest by tenor'!P14)),'Backtest by tenor'!P14-'python Backtest by tenor'!P14,IF('Backtest by tenor'!P14&amp;""='python Backtest by tenor'!P14&amp;"","","TEXT DIFF"))</f>
        <v>0</v>
      </c>
      <c r="Q28" s="3" t="n">
        <f aca="false">IF(AND(ISNUMBER('Backtest by tenor'!Q14),ISNUMBER('python Backtest by tenor'!Q14)),'Backtest by tenor'!Q14-'python Backtest by tenor'!Q14,IF('Backtest by tenor'!Q14&amp;""='python Backtest by tenor'!Q14&amp;"","","TEXT DIFF"))</f>
        <v>0</v>
      </c>
      <c r="R28" s="3" t="n">
        <f aca="false">IF(AND(ISNUMBER('Backtest by tenor'!R14),ISNUMBER('python Backtest by tenor'!R14)),'Backtest by tenor'!R14-'python Backtest by tenor'!R14,IF('Backtest by tenor'!R14&amp;""='python Backtest by tenor'!R14&amp;"","","TEXT DIFF"))</f>
        <v>0</v>
      </c>
      <c r="S28" s="3" t="n">
        <f aca="false">IF(AND(ISNUMBER('Backtest by tenor'!S14),ISNUMBER('python Backtest by tenor'!S14)),'Backtest by tenor'!S14-'python Backtest by tenor'!S14,IF('Backtest by tenor'!S14&amp;""='python Backtest by tenor'!S14&amp;"","","TEXT DIFF"))</f>
        <v>0</v>
      </c>
      <c r="T28" s="3" t="n">
        <f aca="false">IF(AND(ISNUMBER('Backtest by tenor'!T14),ISNUMBER('python Backtest by tenor'!T14)),'Backtest by tenor'!T14-'python Backtest by tenor'!T14,IF('Backtest by tenor'!T14&amp;""='python Backtest by tenor'!T14&amp;"","","TEXT DIFF"))</f>
        <v>0</v>
      </c>
      <c r="U28" s="3" t="n">
        <f aca="false">IF(AND(ISNUMBER('Backtest by tenor'!U14),ISNUMBER('python Backtest by tenor'!U14)),'Backtest by tenor'!U14-'python Backtest by tenor'!U14,IF('Backtest by tenor'!U14&amp;""='python Backtest by tenor'!U14&amp;"","","TEXT DIFF"))</f>
        <v>0</v>
      </c>
      <c r="V28" s="3" t="n">
        <f aca="false">IF(AND(ISNUMBER('Backtest by tenor'!V14),ISNUMBER('python Backtest by tenor'!V14)),'Backtest by tenor'!V14-'python Backtest by tenor'!V14,IF('Backtest by tenor'!V14&amp;""='python Backtest by tenor'!V14&amp;"","","TEXT DIFF"))</f>
        <v>0</v>
      </c>
    </row>
    <row r="29" customFormat="false" ht="15" hidden="false" customHeight="false" outlineLevel="0" collapsed="false">
      <c r="A29" s="1" t="str">
        <f aca="false">IF(AND(ISNUMBER('Backtest by tenor'!A15),ISNUMBER('python Backtest by tenor'!A15)),'Backtest by tenor'!A15-'python Backtest by tenor'!A15,IF('Backtest by tenor'!A15&amp;""='python Backtest by tenor'!A15&amp;"","","TEXT DIFF"))</f>
        <v/>
      </c>
      <c r="B29" s="1" t="str">
        <f aca="false">IF(AND(ISNUMBER('Backtest by tenor'!B15),ISNUMBER('python Backtest by tenor'!B15)),'Backtest by tenor'!B15-'python Backtest by tenor'!B15,IF('Backtest by tenor'!B15&amp;""='python Backtest by tenor'!B15&amp;"","","TEXT DIFF"))</f>
        <v/>
      </c>
      <c r="C29" s="1" t="str">
        <f aca="false">IF(AND(ISNUMBER('Backtest by tenor'!C15),ISNUMBER('python Backtest by tenor'!C15)),'Backtest by tenor'!C15-'python Backtest by tenor'!C15,IF('Backtest by tenor'!C15&amp;""='python Backtest by tenor'!C15&amp;"","","TEXT DIFF"))</f>
        <v/>
      </c>
      <c r="D29" s="1" t="str">
        <f aca="false">IF(AND(ISNUMBER('Backtest by tenor'!D15),ISNUMBER('python Backtest by tenor'!D15)),'Backtest by tenor'!D15-'python Backtest by tenor'!D15,IF('Backtest by tenor'!D15&amp;""='python Backtest by tenor'!D15&amp;"","","TEXT DIFF"))</f>
        <v/>
      </c>
      <c r="E29" s="3" t="n">
        <f aca="false">IF(AND(ISNUMBER('Backtest by tenor'!E15),ISNUMBER('python Backtest by tenor'!E15)),'Backtest by tenor'!E15-'python Backtest by tenor'!E15,IF('Backtest by tenor'!E15&amp;""='python Backtest by tenor'!E15&amp;"","","TEXT DIFF"))</f>
        <v>0</v>
      </c>
      <c r="F29" s="3" t="n">
        <f aca="false">IF(AND(ISNUMBER('Backtest by tenor'!F15),ISNUMBER('python Backtest by tenor'!F15)),'Backtest by tenor'!F15-'python Backtest by tenor'!F15,IF('Backtest by tenor'!F15&amp;""='python Backtest by tenor'!F15&amp;"","","TEXT DIFF"))</f>
        <v>0</v>
      </c>
      <c r="G29" s="3" t="n">
        <f aca="false">IF(AND(ISNUMBER('Backtest by tenor'!G15),ISNUMBER('python Backtest by tenor'!G15)),'Backtest by tenor'!G15-'python Backtest by tenor'!G15,IF('Backtest by tenor'!G15&amp;""='python Backtest by tenor'!G15&amp;"","","TEXT DIFF"))</f>
        <v>0</v>
      </c>
      <c r="H29" s="3" t="n">
        <f aca="false">IF(AND(ISNUMBER('Backtest by tenor'!H15),ISNUMBER('python Backtest by tenor'!H15)),'Backtest by tenor'!H15-'python Backtest by tenor'!H15,IF('Backtest by tenor'!H15&amp;""='python Backtest by tenor'!H15&amp;"","","TEXT DIFF"))</f>
        <v>0</v>
      </c>
      <c r="I29" s="3" t="n">
        <f aca="false">IF(AND(ISNUMBER('Backtest by tenor'!I15),ISNUMBER('python Backtest by tenor'!I15)),'Backtest by tenor'!I15-'python Backtest by tenor'!I15,IF('Backtest by tenor'!I15&amp;""='python Backtest by tenor'!I15&amp;"","","TEXT DIFF"))</f>
        <v>0</v>
      </c>
      <c r="J29" s="3" t="n">
        <f aca="false">IF(AND(ISNUMBER('Backtest by tenor'!J15),ISNUMBER('python Backtest by tenor'!J15)),'Backtest by tenor'!J15-'python Backtest by tenor'!J15,IF('Backtest by tenor'!J15&amp;""='python Backtest by tenor'!J15&amp;"","","TEXT DIFF"))</f>
        <v>0</v>
      </c>
      <c r="K29" s="3" t="n">
        <f aca="false">IF(AND(ISNUMBER('Backtest by tenor'!K15),ISNUMBER('python Backtest by tenor'!K15)),'Backtest by tenor'!K15-'python Backtest by tenor'!K15,IF('Backtest by tenor'!K15&amp;""='python Backtest by tenor'!K15&amp;"","","TEXT DIFF"))</f>
        <v>0</v>
      </c>
      <c r="L29" s="3" t="n">
        <f aca="false">IF(AND(ISNUMBER('Backtest by tenor'!L15),ISNUMBER('python Backtest by tenor'!L15)),'Backtest by tenor'!L15-'python Backtest by tenor'!L15,IF('Backtest by tenor'!L15&amp;""='python Backtest by tenor'!L15&amp;"","","TEXT DIFF"))</f>
        <v>0</v>
      </c>
      <c r="M29" s="3" t="n">
        <f aca="false">IF(AND(ISNUMBER('Backtest by tenor'!M15),ISNUMBER('python Backtest by tenor'!M15)),'Backtest by tenor'!M15-'python Backtest by tenor'!M15,IF('Backtest by tenor'!M15&amp;""='python Backtest by tenor'!M15&amp;"","","TEXT DIFF"))</f>
        <v>0</v>
      </c>
      <c r="N29" s="3" t="n">
        <f aca="false">IF(AND(ISNUMBER('Backtest by tenor'!N15),ISNUMBER('python Backtest by tenor'!N15)),'Backtest by tenor'!N15-'python Backtest by tenor'!N15,IF('Backtest by tenor'!N15&amp;""='python Backtest by tenor'!N15&amp;"","","TEXT DIFF"))</f>
        <v>0</v>
      </c>
      <c r="O29" s="3" t="n">
        <f aca="false">IF(AND(ISNUMBER('Backtest by tenor'!O15),ISNUMBER('python Backtest by tenor'!O15)),'Backtest by tenor'!O15-'python Backtest by tenor'!O15,IF('Backtest by tenor'!O15&amp;""='python Backtest by tenor'!O15&amp;"","","TEXT DIFF"))</f>
        <v>0</v>
      </c>
      <c r="P29" s="3" t="n">
        <f aca="false">IF(AND(ISNUMBER('Backtest by tenor'!P15),ISNUMBER('python Backtest by tenor'!P15)),'Backtest by tenor'!P15-'python Backtest by tenor'!P15,IF('Backtest by tenor'!P15&amp;""='python Backtest by tenor'!P15&amp;"","","TEXT DIFF"))</f>
        <v>0</v>
      </c>
      <c r="Q29" s="3" t="n">
        <f aca="false">IF(AND(ISNUMBER('Backtest by tenor'!Q15),ISNUMBER('python Backtest by tenor'!Q15)),'Backtest by tenor'!Q15-'python Backtest by tenor'!Q15,IF('Backtest by tenor'!Q15&amp;""='python Backtest by tenor'!Q15&amp;"","","TEXT DIFF"))</f>
        <v>0</v>
      </c>
      <c r="R29" s="3" t="n">
        <f aca="false">IF(AND(ISNUMBER('Backtest by tenor'!R15),ISNUMBER('python Backtest by tenor'!R15)),'Backtest by tenor'!R15-'python Backtest by tenor'!R15,IF('Backtest by tenor'!R15&amp;""='python Backtest by tenor'!R15&amp;"","","TEXT DIFF"))</f>
        <v>0</v>
      </c>
      <c r="S29" s="3" t="n">
        <f aca="false">IF(AND(ISNUMBER('Backtest by tenor'!S15),ISNUMBER('python Backtest by tenor'!S15)),'Backtest by tenor'!S15-'python Backtest by tenor'!S15,IF('Backtest by tenor'!S15&amp;""='python Backtest by tenor'!S15&amp;"","","TEXT DIFF"))</f>
        <v>0</v>
      </c>
      <c r="T29" s="3" t="n">
        <f aca="false">IF(AND(ISNUMBER('Backtest by tenor'!T15),ISNUMBER('python Backtest by tenor'!T15)),'Backtest by tenor'!T15-'python Backtest by tenor'!T15,IF('Backtest by tenor'!T15&amp;""='python Backtest by tenor'!T15&amp;"","","TEXT DIFF"))</f>
        <v>0</v>
      </c>
      <c r="U29" s="3" t="n">
        <f aca="false">IF(AND(ISNUMBER('Backtest by tenor'!U15),ISNUMBER('python Backtest by tenor'!U15)),'Backtest by tenor'!U15-'python Backtest by tenor'!U15,IF('Backtest by tenor'!U15&amp;""='python Backtest by tenor'!U15&amp;"","","TEXT DIFF"))</f>
        <v>0</v>
      </c>
      <c r="V29" s="3" t="n">
        <f aca="false">IF(AND(ISNUMBER('Backtest by tenor'!V15),ISNUMBER('python Backtest by tenor'!V15)),'Backtest by tenor'!V15-'python Backtest by tenor'!V15,IF('Backtest by tenor'!V15&amp;""='python Backtest by tenor'!V15&amp;"","","TEXT DIFF"))</f>
        <v>0</v>
      </c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2" t="s">
        <v>106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 t="str">
        <f aca="false">IF(AND(ISNUMBER('Backtest by period'!A1),ISNUMBER('python Backtest by period'!A1)),'Backtest by period'!A1-'python Backtest by period'!A1,IF('Backtest by period'!A1&amp;""='python Backtest by period'!A1&amp;"","","TEXT DIFF"))</f>
        <v/>
      </c>
      <c r="B33" s="1" t="str">
        <f aca="false">IF(AND(ISNUMBER('Backtest by period'!B1),ISNUMBER('python Backtest by period'!B1)),'Backtest by period'!B1-'python Backtest by period'!B1,IF('Backtest by period'!B1&amp;""='python Backtest by period'!B1&amp;"","","TEXT DIFF"))</f>
        <v/>
      </c>
      <c r="C33" s="1" t="str">
        <f aca="false">IF(AND(ISNUMBER('Backtest by period'!C1),ISNUMBER('python Backtest by period'!C1)),'Backtest by period'!C1-'python Backtest by period'!C1,IF('Backtest by period'!C1&amp;""='python Backtest by period'!C1&amp;"","","TEXT DIFF"))</f>
        <v/>
      </c>
      <c r="D33" s="1" t="str">
        <f aca="false">IF(AND(ISNUMBER('Backtest by period'!D1),ISNUMBER('python Backtest by period'!D1)),'Backtest by period'!D1-'python Backtest by period'!D1,IF('Backtest by period'!D1&amp;""='python Backtest by period'!D1&amp;"","","TEXT DIFF"))</f>
        <v/>
      </c>
      <c r="E33" s="1" t="str">
        <f aca="false">IF(AND(ISNUMBER('Backtest by period'!E1),ISNUMBER('python Backtest by period'!E1)),'Backtest by period'!E1-'python Backtest by period'!E1,IF('Backtest by period'!E1&amp;""='python Backtest by period'!E1&amp;"","","TEXT DIFF"))</f>
        <v/>
      </c>
      <c r="F33" s="1" t="str">
        <f aca="false">IF(AND(ISNUMBER('Backtest by period'!F1),ISNUMBER('python Backtest by period'!F1)),'Backtest by period'!F1-'python Backtest by period'!F1,IF('Backtest by period'!F1&amp;""='python Backtest by period'!F1&amp;"","","TEXT DIFF"))</f>
        <v/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 t="str">
        <f aca="false">IF(AND(ISNUMBER('Backtest by period'!A2),ISNUMBER('python Backtest by period'!A2)),'Backtest by period'!A2-'python Backtest by period'!A2,IF('Backtest by period'!A2&amp;""='python Backtest by period'!A2&amp;"","","TEXT DIFF"))</f>
        <v/>
      </c>
      <c r="B34" s="1" t="str">
        <f aca="false">IF(AND(ISNUMBER('Backtest by period'!B2),ISNUMBER('python Backtest by period'!B2)),'Backtest by period'!B2-'python Backtest by period'!B2,IF('Backtest by period'!B2&amp;""='python Backtest by period'!B2&amp;"","","TEXT DIFF"))</f>
        <v/>
      </c>
      <c r="C34" s="1" t="str">
        <f aca="false">IF(AND(ISNUMBER('Backtest by period'!C2),ISNUMBER('python Backtest by period'!C2)),'Backtest by period'!C2-'python Backtest by period'!C2,IF('Backtest by period'!C2&amp;""='python Backtest by period'!C2&amp;"","","TEXT DIFF"))</f>
        <v/>
      </c>
      <c r="D34" s="1" t="str">
        <f aca="false">IF(AND(ISNUMBER('Backtest by period'!D2),ISNUMBER('python Backtest by period'!D2)),'Backtest by period'!D2-'python Backtest by period'!D2,IF('Backtest by period'!D2&amp;""='python Backtest by period'!D2&amp;"","","TEXT DIFF"))</f>
        <v/>
      </c>
      <c r="E34" s="1" t="str">
        <f aca="false">IF(AND(ISNUMBER('Backtest by period'!E2),ISNUMBER('python Backtest by period'!E2)),'Backtest by period'!E2-'python Backtest by period'!E2,IF('Backtest by period'!E2&amp;""='python Backtest by period'!E2&amp;"","","TEXT DIFF"))</f>
        <v/>
      </c>
      <c r="F34" s="1" t="str">
        <f aca="false">IF(AND(ISNUMBER('Backtest by period'!F2),ISNUMBER('python Backtest by period'!F2)),'Backtest by period'!F2-'python Backtest by period'!F2,IF('Backtest by period'!F2&amp;""='python Backtest by period'!F2&amp;"","","TEXT DIFF"))</f>
        <v/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 t="str">
        <f aca="false">IF(AND(ISNUMBER('Backtest by period'!A3),ISNUMBER('python Backtest by period'!A3)),'Backtest by period'!A3-'python Backtest by period'!A3,IF('Backtest by period'!A3&amp;""='python Backtest by period'!A3&amp;"","","TEXT DIFF"))</f>
        <v/>
      </c>
      <c r="B35" s="1" t="str">
        <f aca="false">IF(AND(ISNUMBER('Backtest by period'!B3),ISNUMBER('python Backtest by period'!B3)),'Backtest by period'!B3-'python Backtest by period'!B3,IF('Backtest by period'!B3&amp;""='python Backtest by period'!B3&amp;"","","TEXT DIFF"))</f>
        <v/>
      </c>
      <c r="C35" s="1" t="str">
        <f aca="false">IF(AND(ISNUMBER('Backtest by period'!C3),ISNUMBER('python Backtest by period'!C3)),'Backtest by period'!C3-'python Backtest by period'!C3,IF('Backtest by period'!C3&amp;""='python Backtest by period'!C3&amp;"","","TEXT DIFF"))</f>
        <v/>
      </c>
      <c r="D35" s="1" t="n">
        <f aca="false">IF(AND(ISNUMBER('Backtest by period'!D3),ISNUMBER('python Backtest by period'!D3)),'Backtest by period'!D3-'python Backtest by period'!D3,IF('Backtest by period'!D3&amp;""='python Backtest by period'!D3&amp;"","","TEXT DIFF"))</f>
        <v>0</v>
      </c>
      <c r="E35" s="1" t="n">
        <f aca="false">IF(AND(ISNUMBER('Backtest by period'!E3),ISNUMBER('python Backtest by period'!E3)),'Backtest by period'!E3-'python Backtest by period'!E3,IF('Backtest by period'!E3&amp;""='python Backtest by period'!E3&amp;"","","TEXT DIFF"))</f>
        <v>0</v>
      </c>
      <c r="F35" s="1" t="n">
        <f aca="false">IF(AND(ISNUMBER('Backtest by period'!F3),ISNUMBER('python Backtest by period'!F3)),'Backtest by period'!F3-'python Backtest by period'!F3,IF('Backtest by period'!F3&amp;""='python Backtest by period'!F3&amp;"","","TEXT DIFF"))</f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 t="str">
        <f aca="false">IF(AND(ISNUMBER('Backtest by period'!A4),ISNUMBER('python Backtest by period'!A4)),'Backtest by period'!A4-'python Backtest by period'!A4,IF('Backtest by period'!A4&amp;""='python Backtest by period'!A4&amp;"","","TEXT DIFF"))</f>
        <v/>
      </c>
      <c r="B36" s="1" t="str">
        <f aca="false">IF(AND(ISNUMBER('Backtest by period'!B4),ISNUMBER('python Backtest by period'!B4)),'Backtest by period'!B4-'python Backtest by period'!B4,IF('Backtest by period'!B4&amp;""='python Backtest by period'!B4&amp;"","","TEXT DIFF"))</f>
        <v/>
      </c>
      <c r="C36" s="1" t="str">
        <f aca="false">IF(AND(ISNUMBER('Backtest by period'!C4),ISNUMBER('python Backtest by period'!C4)),'Backtest by period'!C4-'python Backtest by period'!C4,IF('Backtest by period'!C4&amp;""='python Backtest by period'!C4&amp;"","","TEXT DIFF"))</f>
        <v/>
      </c>
      <c r="D36" s="1" t="n">
        <f aca="false">IF(AND(ISNUMBER('Backtest by period'!D4),ISNUMBER('python Backtest by period'!D4)),'Backtest by period'!D4-'python Backtest by period'!D4,IF('Backtest by period'!D4&amp;""='python Backtest by period'!D4&amp;"","","TEXT DIFF"))</f>
        <v>0</v>
      </c>
      <c r="E36" s="1" t="n">
        <f aca="false">IF(AND(ISNUMBER('Backtest by period'!E4),ISNUMBER('python Backtest by period'!E4)),'Backtest by period'!E4-'python Backtest by period'!E4,IF('Backtest by period'!E4&amp;""='python Backtest by period'!E4&amp;"","","TEXT DIFF"))</f>
        <v>0</v>
      </c>
      <c r="F36" s="1" t="n">
        <f aca="false">IF(AND(ISNUMBER('Backtest by period'!F4),ISNUMBER('python Backtest by period'!F4)),'Backtest by period'!F4-'python Backtest by period'!F4,IF('Backtest by period'!F4&amp;""='python Backtest by period'!F4&amp;"","","TEXT DIFF"))</f>
        <v>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 t="str">
        <f aca="false">IF(AND(ISNUMBER('Backtest by period'!A5),ISNUMBER('python Backtest by period'!A5)),'Backtest by period'!A5-'python Backtest by period'!A5,IF('Backtest by period'!A5&amp;""='python Backtest by period'!A5&amp;"","","TEXT DIFF"))</f>
        <v/>
      </c>
      <c r="B37" s="1" t="str">
        <f aca="false">IF(AND(ISNUMBER('Backtest by period'!B5),ISNUMBER('python Backtest by period'!B5)),'Backtest by period'!B5-'python Backtest by period'!B5,IF('Backtest by period'!B5&amp;""='python Backtest by period'!B5&amp;"","","TEXT DIFF"))</f>
        <v/>
      </c>
      <c r="C37" s="1" t="str">
        <f aca="false">IF(AND(ISNUMBER('Backtest by period'!C5),ISNUMBER('python Backtest by period'!C5)),'Backtest by period'!C5-'python Backtest by period'!C5,IF('Backtest by period'!C5&amp;""='python Backtest by period'!C5&amp;"","","TEXT DIFF"))</f>
        <v/>
      </c>
      <c r="D37" s="1" t="n">
        <f aca="false">IF(AND(ISNUMBER('Backtest by period'!D5),ISNUMBER('python Backtest by period'!D5)),'Backtest by period'!D5-'python Backtest by period'!D5,IF('Backtest by period'!D5&amp;""='python Backtest by period'!D5&amp;"","","TEXT DIFF"))</f>
        <v>0</v>
      </c>
      <c r="E37" s="1" t="n">
        <f aca="false">IF(AND(ISNUMBER('Backtest by period'!E5),ISNUMBER('python Backtest by period'!E5)),'Backtest by period'!E5-'python Backtest by period'!E5,IF('Backtest by period'!E5&amp;""='python Backtest by period'!E5&amp;"","","TEXT DIFF"))</f>
        <v>0</v>
      </c>
      <c r="F37" s="1" t="n">
        <f aca="false">IF(AND(ISNUMBER('Backtest by period'!F5),ISNUMBER('python Backtest by period'!F5)),'Backtest by period'!F5-'python Backtest by period'!F5,IF('Backtest by period'!F5&amp;""='python Backtest by period'!F5&amp;"","","TEXT DIFF"))</f>
        <v>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 t="str">
        <f aca="false">IF(AND(ISNUMBER('Backtest by period'!A6),ISNUMBER('python Backtest by period'!A6)),'Backtest by period'!A6-'python Backtest by period'!A6,IF('Backtest by period'!A6&amp;""='python Backtest by period'!A6&amp;"","","TEXT DIFF"))</f>
        <v/>
      </c>
      <c r="B38" s="1" t="str">
        <f aca="false">IF(AND(ISNUMBER('Backtest by period'!B6),ISNUMBER('python Backtest by period'!B6)),'Backtest by period'!B6-'python Backtest by period'!B6,IF('Backtest by period'!B6&amp;""='python Backtest by period'!B6&amp;"","","TEXT DIFF"))</f>
        <v/>
      </c>
      <c r="C38" s="1" t="str">
        <f aca="false">IF(AND(ISNUMBER('Backtest by period'!C6),ISNUMBER('python Backtest by period'!C6)),'Backtest by period'!C6-'python Backtest by period'!C6,IF('Backtest by period'!C6&amp;""='python Backtest by period'!C6&amp;"","","TEXT DIFF"))</f>
        <v/>
      </c>
      <c r="D38" s="1" t="n">
        <f aca="false">IF(AND(ISNUMBER('Backtest by period'!D6),ISNUMBER('python Backtest by period'!D6)),'Backtest by period'!D6-'python Backtest by period'!D6,IF('Backtest by period'!D6&amp;""='python Backtest by period'!D6&amp;"","","TEXT DIFF"))</f>
        <v>0</v>
      </c>
      <c r="E38" s="1" t="n">
        <f aca="false">IF(AND(ISNUMBER('Backtest by period'!E6),ISNUMBER('python Backtest by period'!E6)),'Backtest by period'!E6-'python Backtest by period'!E6,IF('Backtest by period'!E6&amp;""='python Backtest by period'!E6&amp;"","","TEXT DIFF"))</f>
        <v>0</v>
      </c>
      <c r="F38" s="1" t="n">
        <f aca="false">IF(AND(ISNUMBER('Backtest by period'!F6),ISNUMBER('python Backtest by period'!F6)),'Backtest by period'!F6-'python Backtest by period'!F6,IF('Backtest by period'!F6&amp;""='python Backtest by period'!F6&amp;"","","TEXT DIFF"))</f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 t="str">
        <f aca="false">IF(AND(ISNUMBER('Backtest by period'!A7),ISNUMBER('python Backtest by period'!A7)),'Backtest by period'!A7-'python Backtest by period'!A7,IF('Backtest by period'!A7&amp;""='python Backtest by period'!A7&amp;"","","TEXT DIFF"))</f>
        <v/>
      </c>
      <c r="B39" s="1" t="str">
        <f aca="false">IF(AND(ISNUMBER('Backtest by period'!B7),ISNUMBER('python Backtest by period'!B7)),'Backtest by period'!B7-'python Backtest by period'!B7,IF('Backtest by period'!B7&amp;""='python Backtest by period'!B7&amp;"","","TEXT DIFF"))</f>
        <v/>
      </c>
      <c r="C39" s="1" t="str">
        <f aca="false">IF(AND(ISNUMBER('Backtest by period'!C7),ISNUMBER('python Backtest by period'!C7)),'Backtest by period'!C7-'python Backtest by period'!C7,IF('Backtest by period'!C7&amp;""='python Backtest by period'!C7&amp;"","","TEXT DIFF"))</f>
        <v/>
      </c>
      <c r="D39" s="1" t="n">
        <f aca="false">IF(AND(ISNUMBER('Backtest by period'!D7),ISNUMBER('python Backtest by period'!D7)),'Backtest by period'!D7-'python Backtest by period'!D7,IF('Backtest by period'!D7&amp;""='python Backtest by period'!D7&amp;"","","TEXT DIFF"))</f>
        <v>0</v>
      </c>
      <c r="E39" s="1" t="n">
        <f aca="false">IF(AND(ISNUMBER('Backtest by period'!E7),ISNUMBER('python Backtest by period'!E7)),'Backtest by period'!E7-'python Backtest by period'!E7,IF('Backtest by period'!E7&amp;""='python Backtest by period'!E7&amp;"","","TEXT DIFF"))</f>
        <v>0</v>
      </c>
      <c r="F39" s="1" t="n">
        <f aca="false">IF(AND(ISNUMBER('Backtest by period'!F7),ISNUMBER('python Backtest by period'!F7)),'Backtest by period'!F7-'python Backtest by period'!F7,IF('Backtest by period'!F7&amp;""='python Backtest by period'!F7&amp;"","","TEXT DIFF"))</f>
        <v>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 t="str">
        <f aca="false">IF(AND(ISNUMBER('Backtest by period'!A8),ISNUMBER('python Backtest by period'!A8)),'Backtest by period'!A8-'python Backtest by period'!A8,IF('Backtest by period'!A8&amp;""='python Backtest by period'!A8&amp;"","","TEXT DIFF"))</f>
        <v/>
      </c>
      <c r="B40" s="1" t="str">
        <f aca="false">IF(AND(ISNUMBER('Backtest by period'!B8),ISNUMBER('python Backtest by period'!B8)),'Backtest by period'!B8-'python Backtest by period'!B8,IF('Backtest by period'!B8&amp;""='python Backtest by period'!B8&amp;"","","TEXT DIFF"))</f>
        <v/>
      </c>
      <c r="C40" s="1" t="str">
        <f aca="false">IF(AND(ISNUMBER('Backtest by period'!C8),ISNUMBER('python Backtest by period'!C8)),'Backtest by period'!C8-'python Backtest by period'!C8,IF('Backtest by period'!C8&amp;""='python Backtest by period'!C8&amp;"","","TEXT DIFF"))</f>
        <v/>
      </c>
      <c r="D40" s="1" t="str">
        <f aca="false">IF(AND(ISNUMBER('Backtest by period'!D8),ISNUMBER('python Backtest by period'!D8)),'Backtest by period'!D8-'python Backtest by period'!D8,IF('Backtest by period'!D8&amp;""='python Backtest by period'!D8&amp;"","","TEXT DIFF"))</f>
        <v/>
      </c>
      <c r="E40" s="1" t="str">
        <f aca="false">IF(AND(ISNUMBER('Backtest by period'!E8),ISNUMBER('python Backtest by period'!E8)),'Backtest by period'!E8-'python Backtest by period'!E8,IF('Backtest by period'!E8&amp;""='python Backtest by period'!E8&amp;"","","TEXT DIFF"))</f>
        <v/>
      </c>
      <c r="F40" s="1" t="str">
        <f aca="false">IF(AND(ISNUMBER('Backtest by period'!F8),ISNUMBER('python Backtest by period'!F8)),'Backtest by period'!F8-'python Backtest by period'!F8,IF('Backtest by period'!F8&amp;""='python Backtest by period'!F8&amp;"","","TEXT DIFF"))</f>
        <v/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 t="str">
        <f aca="false">IF(AND(ISNUMBER('Backtest by period'!A9),ISNUMBER('python Backtest by period'!A9)),'Backtest by period'!A9-'python Backtest by period'!A9,IF('Backtest by period'!A9&amp;""='python Backtest by period'!A9&amp;"","","TEXT DIFF"))</f>
        <v/>
      </c>
      <c r="B41" s="1" t="str">
        <f aca="false">IF(AND(ISNUMBER('Backtest by period'!B9),ISNUMBER('python Backtest by period'!B9)),'Backtest by period'!B9-'python Backtest by period'!B9,IF('Backtest by period'!B9&amp;""='python Backtest by period'!B9&amp;"","","TEXT DIFF"))</f>
        <v/>
      </c>
      <c r="C41" s="1" t="str">
        <f aca="false">IF(AND(ISNUMBER('Backtest by period'!C9),ISNUMBER('python Backtest by period'!C9)),'Backtest by period'!C9-'python Backtest by period'!C9,IF('Backtest by period'!C9&amp;""='python Backtest by period'!C9&amp;"","","TEXT DIFF"))</f>
        <v/>
      </c>
      <c r="D41" s="1" t="str">
        <f aca="false">IF(AND(ISNUMBER('Backtest by period'!D9),ISNUMBER('python Backtest by period'!D9)),'Backtest by period'!D9-'python Backtest by period'!D9,IF('Backtest by period'!D9&amp;""='python Backtest by period'!D9&amp;"","","TEXT DIFF"))</f>
        <v/>
      </c>
      <c r="E41" s="1" t="str">
        <f aca="false">IF(AND(ISNUMBER('Backtest by period'!E9),ISNUMBER('python Backtest by period'!E9)),'Backtest by period'!E9-'python Backtest by period'!E9,IF('Backtest by period'!E9&amp;""='python Backtest by period'!E9&amp;"","","TEXT DIFF"))</f>
        <v/>
      </c>
      <c r="F41" s="1" t="str">
        <f aca="false">IF(AND(ISNUMBER('Backtest by period'!F9),ISNUMBER('python Backtest by period'!F9)),'Backtest by period'!F9-'python Backtest by period'!F9,IF('Backtest by period'!F9&amp;""='python Backtest by period'!F9&amp;"","","TEXT DIFF"))</f>
        <v/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 t="str">
        <f aca="false">IF(AND(ISNUMBER('Backtest by period'!A10),ISNUMBER('python Backtest by period'!A10)),'Backtest by period'!A10-'python Backtest by period'!A10,IF('Backtest by period'!A10&amp;""='python Backtest by period'!A10&amp;"","","TEXT DIFF"))</f>
        <v/>
      </c>
      <c r="B42" s="1" t="str">
        <f aca="false">IF(AND(ISNUMBER('Backtest by period'!B10),ISNUMBER('python Backtest by period'!B10)),'Backtest by period'!B10-'python Backtest by period'!B10,IF('Backtest by period'!B10&amp;""='python Backtest by period'!B10&amp;"","","TEXT DIFF"))</f>
        <v/>
      </c>
      <c r="C42" s="1" t="str">
        <f aca="false">IF(AND(ISNUMBER('Backtest by period'!C10),ISNUMBER('python Backtest by period'!C10)),'Backtest by period'!C10-'python Backtest by period'!C10,IF('Backtest by period'!C10&amp;""='python Backtest by period'!C10&amp;"","","TEXT DIFF"))</f>
        <v/>
      </c>
      <c r="D42" s="1" t="str">
        <f aca="false">IF(AND(ISNUMBER('Backtest by period'!D10),ISNUMBER('python Backtest by period'!D10)),'Backtest by period'!D10-'python Backtest by period'!D10,IF('Backtest by period'!D10&amp;""='python Backtest by period'!D10&amp;"","","TEXT DIFF"))</f>
        <v/>
      </c>
      <c r="E42" s="1" t="str">
        <f aca="false">IF(AND(ISNUMBER('Backtest by period'!E10),ISNUMBER('python Backtest by period'!E10)),'Backtest by period'!E10-'python Backtest by period'!E10,IF('Backtest by period'!E10&amp;""='python Backtest by period'!E10&amp;"","","TEXT DIFF"))</f>
        <v/>
      </c>
      <c r="F42" s="1" t="str">
        <f aca="false">IF(AND(ISNUMBER('Backtest by period'!F10),ISNUMBER('python Backtest by period'!F10)),'Backtest by period'!F10-'python Backtest by period'!F10,IF('Backtest by period'!F10&amp;""='python Backtest by period'!F10&amp;"","","TEXT DIFF"))</f>
        <v/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 t="str">
        <f aca="false">IF(AND(ISNUMBER('Backtest by period'!A11),ISNUMBER('python Backtest by period'!A11)),'Backtest by period'!A11-'python Backtest by period'!A11,IF('Backtest by period'!A11&amp;""='python Backtest by period'!A11&amp;"","","TEXT DIFF"))</f>
        <v/>
      </c>
      <c r="B43" s="1" t="str">
        <f aca="false">IF(AND(ISNUMBER('Backtest by period'!B11),ISNUMBER('python Backtest by period'!B11)),'Backtest by period'!B11-'python Backtest by period'!B11,IF('Backtest by period'!B11&amp;""='python Backtest by period'!B11&amp;"","","TEXT DIFF"))</f>
        <v/>
      </c>
      <c r="C43" s="1" t="str">
        <f aca="false">IF(AND(ISNUMBER('Backtest by period'!C11),ISNUMBER('python Backtest by period'!C11)),'Backtest by period'!C11-'python Backtest by period'!C11,IF('Backtest by period'!C11&amp;""='python Backtest by period'!C11&amp;"","","TEXT DIFF"))</f>
        <v/>
      </c>
      <c r="D43" s="1" t="n">
        <f aca="false">IF(AND(ISNUMBER('Backtest by period'!D11),ISNUMBER('python Backtest by period'!D11)),'Backtest by period'!D11-'python Backtest by period'!D11,IF('Backtest by period'!D11&amp;""='python Backtest by period'!D11&amp;"","","TEXT DIFF"))</f>
        <v>0</v>
      </c>
      <c r="E43" s="1" t="str">
        <f aca="false">IF(AND(ISNUMBER('Backtest by period'!E11),ISNUMBER('python Backtest by period'!E11)),'Backtest by period'!E11-'python Backtest by period'!E11,IF('Backtest by period'!E11&amp;""='python Backtest by period'!E11&amp;"","","TEXT DIFF"))</f>
        <v/>
      </c>
      <c r="F43" s="1" t="n">
        <f aca="false">IF(AND(ISNUMBER('Backtest by period'!F11),ISNUMBER('python Backtest by period'!F11)),'Backtest by period'!F11-'python Backtest by period'!F11,IF('Backtest by period'!F11&amp;""='python Backtest by period'!F11&amp;"","","TEXT DIFF"))</f>
        <v>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 t="str">
        <f aca="false">IF(AND(ISNUMBER('Backtest by period'!A12),ISNUMBER('python Backtest by period'!A12)),'Backtest by period'!A12-'python Backtest by period'!A12,IF('Backtest by period'!A12&amp;""='python Backtest by period'!A12&amp;"","","TEXT DIFF"))</f>
        <v/>
      </c>
      <c r="B44" s="1" t="str">
        <f aca="false">IF(AND(ISNUMBER('Backtest by period'!B12),ISNUMBER('python Backtest by period'!B12)),'Backtest by period'!B12-'python Backtest by period'!B12,IF('Backtest by period'!B12&amp;""='python Backtest by period'!B12&amp;"","","TEXT DIFF"))</f>
        <v/>
      </c>
      <c r="C44" s="1" t="str">
        <f aca="false">IF(AND(ISNUMBER('Backtest by period'!C12),ISNUMBER('python Backtest by period'!C12)),'Backtest by period'!C12-'python Backtest by period'!C12,IF('Backtest by period'!C12&amp;""='python Backtest by period'!C12&amp;"","","TEXT DIFF"))</f>
        <v/>
      </c>
      <c r="D44" s="1" t="n">
        <f aca="false">IF(AND(ISNUMBER('Backtest by period'!D12),ISNUMBER('python Backtest by period'!D12)),'Backtest by period'!D12-'python Backtest by period'!D12,IF('Backtest by period'!D12&amp;""='python Backtest by period'!D12&amp;"","","TEXT DIFF"))</f>
        <v>0</v>
      </c>
      <c r="E44" s="1" t="str">
        <f aca="false">IF(AND(ISNUMBER('Backtest by period'!E12),ISNUMBER('python Backtest by period'!E12)),'Backtest by period'!E12-'python Backtest by period'!E12,IF('Backtest by period'!E12&amp;""='python Backtest by period'!E12&amp;"","","TEXT DIFF"))</f>
        <v/>
      </c>
      <c r="F44" s="1" t="n">
        <f aca="false">IF(AND(ISNUMBER('Backtest by period'!F12),ISNUMBER('python Backtest by period'!F12)),'Backtest by period'!F12-'python Backtest by period'!F12,IF('Backtest by period'!F12&amp;""='python Backtest by period'!F12&amp;"","","TEXT DIFF"))</f>
        <v>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 t="str">
        <f aca="false">IF(AND(ISNUMBER('Backtest by period'!A13),ISNUMBER('python Backtest by period'!A13)),'Backtest by period'!A13-'python Backtest by period'!A13,IF('Backtest by period'!A13&amp;""='python Backtest by period'!A13&amp;"","","TEXT DIFF"))</f>
        <v/>
      </c>
      <c r="B45" s="1" t="str">
        <f aca="false">IF(AND(ISNUMBER('Backtest by period'!B13),ISNUMBER('python Backtest by period'!B13)),'Backtest by period'!B13-'python Backtest by period'!B13,IF('Backtest by period'!B13&amp;""='python Backtest by period'!B13&amp;"","","TEXT DIFF"))</f>
        <v/>
      </c>
      <c r="C45" s="1" t="str">
        <f aca="false">IF(AND(ISNUMBER('Backtest by period'!C13),ISNUMBER('python Backtest by period'!C13)),'Backtest by period'!C13-'python Backtest by period'!C13,IF('Backtest by period'!C13&amp;""='python Backtest by period'!C13&amp;"","","TEXT DIFF"))</f>
        <v/>
      </c>
      <c r="D45" s="1" t="n">
        <f aca="false">IF(AND(ISNUMBER('Backtest by period'!D13),ISNUMBER('python Backtest by period'!D13)),'Backtest by period'!D13-'python Backtest by period'!D13,IF('Backtest by period'!D13&amp;""='python Backtest by period'!D13&amp;"","","TEXT DIFF"))</f>
        <v>0</v>
      </c>
      <c r="E45" s="1" t="str">
        <f aca="false">IF(AND(ISNUMBER('Backtest by period'!E13),ISNUMBER('python Backtest by period'!E13)),'Backtest by period'!E13-'python Backtest by period'!E13,IF('Backtest by period'!E13&amp;""='python Backtest by period'!E13&amp;"","","TEXT DIFF"))</f>
        <v/>
      </c>
      <c r="F45" s="1" t="n">
        <f aca="false">IF(AND(ISNUMBER('Backtest by period'!F13),ISNUMBER('python Backtest by period'!F13)),'Backtest by period'!F13-'python Backtest by period'!F13,IF('Backtest by period'!F13&amp;""='python Backtest by period'!F13&amp;"","","TEXT DIFF"))</f>
        <v>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 t="str">
        <f aca="false">IF(AND(ISNUMBER('Backtest by period'!A14),ISNUMBER('python Backtest by period'!A14)),'Backtest by period'!A14-'python Backtest by period'!A14,IF('Backtest by period'!A14&amp;""='python Backtest by period'!A14&amp;"","","TEXT DIFF"))</f>
        <v/>
      </c>
      <c r="B46" s="1" t="str">
        <f aca="false">IF(AND(ISNUMBER('Backtest by period'!B14),ISNUMBER('python Backtest by period'!B14)),'Backtest by period'!B14-'python Backtest by period'!B14,IF('Backtest by period'!B14&amp;""='python Backtest by period'!B14&amp;"","","TEXT DIFF"))</f>
        <v/>
      </c>
      <c r="C46" s="1" t="str">
        <f aca="false">IF(AND(ISNUMBER('Backtest by period'!C14),ISNUMBER('python Backtest by period'!C14)),'Backtest by period'!C14-'python Backtest by period'!C14,IF('Backtest by period'!C14&amp;""='python Backtest by period'!C14&amp;"","","TEXT DIFF"))</f>
        <v/>
      </c>
      <c r="D46" s="1" t="n">
        <f aca="false">IF(AND(ISNUMBER('Backtest by period'!D14),ISNUMBER('python Backtest by period'!D14)),'Backtest by period'!D14-'python Backtest by period'!D14,IF('Backtest by period'!D14&amp;""='python Backtest by period'!D14&amp;"","","TEXT DIFF"))</f>
        <v>0</v>
      </c>
      <c r="E46" s="1" t="str">
        <f aca="false">IF(AND(ISNUMBER('Backtest by period'!E14),ISNUMBER('python Backtest by period'!E14)),'Backtest by period'!E14-'python Backtest by period'!E14,IF('Backtest by period'!E14&amp;""='python Backtest by period'!E14&amp;"","","TEXT DIFF"))</f>
        <v/>
      </c>
      <c r="F46" s="1" t="n">
        <f aca="false">IF(AND(ISNUMBER('Backtest by period'!F14),ISNUMBER('python Backtest by period'!F14)),'Backtest by period'!F14-'python Backtest by period'!F14,IF('Backtest by period'!F14&amp;""='python Backtest by period'!F14&amp;"","","TEXT DIFF"))</f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A47" s="1" t="str">
        <f aca="false">IF(AND(ISNUMBER('Backtest by period'!A15),ISNUMBER('python Backtest by period'!A15)),'Backtest by period'!A15-'python Backtest by period'!A15,IF('Backtest by period'!A15&amp;""='python Backtest by period'!A15&amp;"","","TEXT DIFF"))</f>
        <v/>
      </c>
      <c r="B47" s="1" t="str">
        <f aca="false">IF(AND(ISNUMBER('Backtest by period'!B15),ISNUMBER('python Backtest by period'!B15)),'Backtest by period'!B15-'python Backtest by period'!B15,IF('Backtest by period'!B15&amp;""='python Backtest by period'!B15&amp;"","","TEXT DIFF"))</f>
        <v/>
      </c>
      <c r="C47" s="1" t="str">
        <f aca="false">IF(AND(ISNUMBER('Backtest by period'!C15),ISNUMBER('python Backtest by period'!C15)),'Backtest by period'!C15-'python Backtest by period'!C15,IF('Backtest by period'!C15&amp;""='python Backtest by period'!C15&amp;"","","TEXT DIFF"))</f>
        <v/>
      </c>
      <c r="D47" s="1" t="n">
        <f aca="false">IF(AND(ISNUMBER('Backtest by period'!D15),ISNUMBER('python Backtest by period'!D15)),'Backtest by period'!D15-'python Backtest by period'!D15,IF('Backtest by period'!D15&amp;""='python Backtest by period'!D15&amp;"","","TEXT DIFF"))</f>
        <v>0</v>
      </c>
      <c r="E47" s="1" t="str">
        <f aca="false">IF(AND(ISNUMBER('Backtest by period'!E15),ISNUMBER('python Backtest by period'!E15)),'Backtest by period'!E15-'python Backtest by period'!E15,IF('Backtest by period'!E15&amp;""='python Backtest by period'!E15&amp;"","","TEXT DIFF"))</f>
        <v/>
      </c>
      <c r="F47" s="1" t="n">
        <f aca="false">IF(AND(ISNUMBER('Backtest by period'!F15),ISNUMBER('python Backtest by period'!F15)),'Backtest by period'!F15-'python Backtest by period'!F15,IF('Backtest by period'!F15&amp;""='python Backtest by period'!F15&amp;"","","TEXT DIFF"))</f>
        <v>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2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108</v>
      </c>
      <c r="B2" s="2" t="n">
        <v>2007</v>
      </c>
      <c r="C2" s="2" t="n">
        <v>2008</v>
      </c>
      <c r="D2" s="2" t="n">
        <v>2009</v>
      </c>
      <c r="E2" s="2" t="n">
        <v>2010</v>
      </c>
      <c r="F2" s="2" t="n">
        <v>2011</v>
      </c>
      <c r="G2" s="2" t="n">
        <v>2012</v>
      </c>
      <c r="H2" s="2" t="n">
        <v>2013</v>
      </c>
      <c r="I2" s="2" t="n">
        <v>2014</v>
      </c>
      <c r="J2" s="2" t="n">
        <v>2015</v>
      </c>
      <c r="K2" s="2" t="n">
        <v>2016</v>
      </c>
      <c r="L2" s="2" t="n">
        <v>2017</v>
      </c>
      <c r="M2" s="2" t="n">
        <v>2018</v>
      </c>
      <c r="N2" s="2" t="n">
        <v>2019</v>
      </c>
      <c r="O2" s="2" t="n">
        <v>2020</v>
      </c>
      <c r="P2" s="2" t="n">
        <v>2021</v>
      </c>
      <c r="Q2" s="2" t="n">
        <v>2022</v>
      </c>
      <c r="R2" s="2" t="n">
        <v>2023</v>
      </c>
      <c r="S2" s="2" t="n">
        <v>2024</v>
      </c>
      <c r="T2" s="2" t="n">
        <v>2025</v>
      </c>
    </row>
    <row r="3" customFormat="false" ht="15" hidden="false" customHeight="false" outlineLevel="0" collapsed="false">
      <c r="A3" s="2" t="n">
        <v>2007</v>
      </c>
      <c r="B3" s="15" t="n">
        <v>0</v>
      </c>
      <c r="C3" s="15" t="n">
        <v>0</v>
      </c>
      <c r="D3" s="15" t="n">
        <v>0</v>
      </c>
      <c r="E3" s="15" t="n">
        <v>0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1382</v>
      </c>
      <c r="L3" s="15" t="n">
        <v>1382</v>
      </c>
      <c r="M3" s="15" t="n">
        <v>1382</v>
      </c>
      <c r="N3" s="15" t="n">
        <v>1382</v>
      </c>
      <c r="O3" s="15" t="n">
        <v>1382</v>
      </c>
      <c r="P3" s="15" t="n">
        <v>1382</v>
      </c>
      <c r="Q3" s="15" t="n">
        <v>1382</v>
      </c>
      <c r="R3" s="15" t="n">
        <v>1382</v>
      </c>
      <c r="S3" s="15" t="n">
        <v>1382</v>
      </c>
      <c r="T3" s="15" t="n">
        <v>1382</v>
      </c>
    </row>
    <row r="4" customFormat="false" ht="15" hidden="false" customHeight="false" outlineLevel="0" collapsed="false">
      <c r="A4" s="2" t="n">
        <v>2008</v>
      </c>
      <c r="B4" s="1"/>
      <c r="C4" s="15" t="n">
        <v>0</v>
      </c>
      <c r="D4" s="15" t="n">
        <v>8713</v>
      </c>
      <c r="E4" s="15" t="n">
        <v>8713</v>
      </c>
      <c r="F4" s="15" t="n">
        <v>8713</v>
      </c>
      <c r="G4" s="15" t="n">
        <v>8713</v>
      </c>
      <c r="H4" s="15" t="n">
        <v>8713</v>
      </c>
      <c r="I4" s="15" t="n">
        <v>8713</v>
      </c>
      <c r="J4" s="15" t="n">
        <v>8713</v>
      </c>
      <c r="K4" s="15" t="n">
        <v>9472</v>
      </c>
      <c r="L4" s="15" t="n">
        <v>9472</v>
      </c>
      <c r="M4" s="15" t="n">
        <v>9472</v>
      </c>
      <c r="N4" s="15" t="n">
        <v>9472</v>
      </c>
      <c r="O4" s="15" t="n">
        <v>9472</v>
      </c>
      <c r="P4" s="15" t="n">
        <v>9472</v>
      </c>
      <c r="Q4" s="15" t="n">
        <v>9472</v>
      </c>
      <c r="R4" s="15" t="n">
        <v>9472</v>
      </c>
      <c r="S4" s="15" t="n">
        <v>9472</v>
      </c>
      <c r="T4" s="15" t="n">
        <v>9472</v>
      </c>
    </row>
    <row r="5" customFormat="false" ht="15" hidden="false" customHeight="false" outlineLevel="0" collapsed="false">
      <c r="A5" s="2" t="n">
        <v>2009</v>
      </c>
      <c r="B5" s="1"/>
      <c r="C5" s="1"/>
      <c r="D5" s="15" t="n">
        <v>0</v>
      </c>
      <c r="E5" s="15" t="n">
        <v>6007</v>
      </c>
      <c r="F5" s="15" t="n">
        <v>8788</v>
      </c>
      <c r="G5" s="15" t="n">
        <v>8788</v>
      </c>
      <c r="H5" s="15" t="n">
        <v>8788</v>
      </c>
      <c r="I5" s="15" t="n">
        <v>8788</v>
      </c>
      <c r="J5" s="15" t="n">
        <v>8788</v>
      </c>
      <c r="K5" s="15" t="n">
        <v>8788</v>
      </c>
      <c r="L5" s="15" t="n">
        <v>8788</v>
      </c>
      <c r="M5" s="15" t="n">
        <v>8788</v>
      </c>
      <c r="N5" s="15" t="n">
        <v>8788</v>
      </c>
      <c r="O5" s="15" t="n">
        <v>8788</v>
      </c>
      <c r="P5" s="15" t="n">
        <v>8788</v>
      </c>
      <c r="Q5" s="15" t="n">
        <v>8788</v>
      </c>
      <c r="R5" s="15" t="n">
        <v>8788</v>
      </c>
      <c r="S5" s="15" t="n">
        <v>8788</v>
      </c>
      <c r="T5" s="15" t="n">
        <v>8788</v>
      </c>
    </row>
    <row r="6" customFormat="false" ht="15" hidden="false" customHeight="false" outlineLevel="0" collapsed="false">
      <c r="A6" s="2" t="n">
        <v>2010</v>
      </c>
      <c r="B6" s="1"/>
      <c r="C6" s="1"/>
      <c r="D6" s="1"/>
      <c r="E6" s="15" t="n">
        <v>0</v>
      </c>
      <c r="F6" s="15" t="n">
        <v>500</v>
      </c>
      <c r="G6" s="15" t="n">
        <v>500</v>
      </c>
      <c r="H6" s="15" t="n">
        <v>500</v>
      </c>
      <c r="I6" s="15" t="n">
        <v>1720</v>
      </c>
      <c r="J6" s="15" t="n">
        <v>1720</v>
      </c>
      <c r="K6" s="15" t="n">
        <v>1720</v>
      </c>
      <c r="L6" s="15" t="n">
        <v>1720</v>
      </c>
      <c r="M6" s="15" t="n">
        <v>8854</v>
      </c>
      <c r="N6" s="15" t="n">
        <v>8854</v>
      </c>
      <c r="O6" s="15" t="n">
        <v>8854</v>
      </c>
      <c r="P6" s="15" t="n">
        <v>8854</v>
      </c>
      <c r="Q6" s="15" t="n">
        <v>8854</v>
      </c>
      <c r="R6" s="15" t="n">
        <v>8854</v>
      </c>
      <c r="S6" s="15" t="n">
        <v>8854</v>
      </c>
      <c r="T6" s="15" t="n">
        <v>8854</v>
      </c>
    </row>
    <row r="7" customFormat="false" ht="15" hidden="false" customHeight="false" outlineLevel="0" collapsed="false">
      <c r="A7" s="2" t="n">
        <v>2011</v>
      </c>
      <c r="B7" s="1"/>
      <c r="C7" s="1"/>
      <c r="D7" s="1"/>
      <c r="E7" s="1"/>
      <c r="F7" s="15" t="n">
        <v>6109</v>
      </c>
      <c r="G7" s="15" t="n">
        <v>10569</v>
      </c>
      <c r="H7" s="15" t="n">
        <v>21993</v>
      </c>
      <c r="I7" s="15" t="n">
        <v>21993</v>
      </c>
      <c r="J7" s="15" t="n">
        <v>21993</v>
      </c>
      <c r="K7" s="15" t="n">
        <v>26889</v>
      </c>
      <c r="L7" s="15" t="n">
        <v>26889</v>
      </c>
      <c r="M7" s="15" t="n">
        <v>26889</v>
      </c>
      <c r="N7" s="15" t="n">
        <v>26889</v>
      </c>
      <c r="O7" s="15" t="n">
        <v>26889</v>
      </c>
      <c r="P7" s="15" t="n">
        <v>26889</v>
      </c>
      <c r="Q7" s="15" t="n">
        <v>26889</v>
      </c>
      <c r="R7" s="15" t="n">
        <v>26889</v>
      </c>
      <c r="S7" s="15" t="n">
        <v>26889</v>
      </c>
      <c r="T7" s="15" t="n">
        <v>26889</v>
      </c>
    </row>
    <row r="8" customFormat="false" ht="15" hidden="false" customHeight="false" outlineLevel="0" collapsed="false">
      <c r="A8" s="2" t="n">
        <v>2012</v>
      </c>
      <c r="B8" s="1"/>
      <c r="C8" s="1"/>
      <c r="D8" s="1"/>
      <c r="E8" s="1"/>
      <c r="F8" s="1"/>
      <c r="G8" s="15" t="n">
        <v>17</v>
      </c>
      <c r="H8" s="15" t="n">
        <v>761</v>
      </c>
      <c r="I8" s="15" t="n">
        <v>31465</v>
      </c>
      <c r="J8" s="15" t="n">
        <v>31435</v>
      </c>
      <c r="K8" s="15" t="n">
        <v>36774</v>
      </c>
      <c r="L8" s="15" t="n">
        <v>36764</v>
      </c>
      <c r="M8" s="15" t="n">
        <v>36764</v>
      </c>
      <c r="N8" s="15" t="n">
        <v>36764</v>
      </c>
      <c r="O8" s="15" t="n">
        <v>36764</v>
      </c>
      <c r="P8" s="15" t="n">
        <v>36764</v>
      </c>
      <c r="Q8" s="15" t="n">
        <v>36764</v>
      </c>
      <c r="R8" s="15" t="n">
        <v>36764</v>
      </c>
      <c r="S8" s="15" t="n">
        <v>36764</v>
      </c>
      <c r="T8" s="15" t="n">
        <v>36764</v>
      </c>
    </row>
    <row r="9" customFormat="false" ht="15" hidden="false" customHeight="false" outlineLevel="0" collapsed="false">
      <c r="A9" s="2" t="n">
        <v>2013</v>
      </c>
      <c r="B9" s="1"/>
      <c r="C9" s="1"/>
      <c r="D9" s="1"/>
      <c r="E9" s="1"/>
      <c r="F9" s="1"/>
      <c r="G9" s="1"/>
      <c r="H9" s="15" t="n">
        <v>0</v>
      </c>
      <c r="I9" s="15" t="n">
        <v>0</v>
      </c>
      <c r="J9" s="15" t="n">
        <v>0</v>
      </c>
      <c r="K9" s="15" t="n">
        <v>7000</v>
      </c>
      <c r="L9" s="15" t="n">
        <v>7000</v>
      </c>
      <c r="M9" s="15" t="n">
        <v>7000</v>
      </c>
      <c r="N9" s="15" t="n">
        <v>7000</v>
      </c>
      <c r="O9" s="15" t="n">
        <v>7000</v>
      </c>
      <c r="P9" s="15" t="n">
        <v>7000</v>
      </c>
      <c r="Q9" s="15" t="n">
        <v>7000</v>
      </c>
      <c r="R9" s="15" t="n">
        <v>7000</v>
      </c>
      <c r="S9" s="15" t="n">
        <v>7000</v>
      </c>
      <c r="T9" s="15" t="n">
        <v>7000</v>
      </c>
    </row>
    <row r="10" customFormat="false" ht="15" hidden="false" customHeight="false" outlineLevel="0" collapsed="false">
      <c r="A10" s="2" t="n">
        <v>2014</v>
      </c>
      <c r="B10" s="1"/>
      <c r="C10" s="1"/>
      <c r="D10" s="1"/>
      <c r="E10" s="1"/>
      <c r="F10" s="1"/>
      <c r="G10" s="1"/>
      <c r="H10" s="1"/>
      <c r="I10" s="15" t="n">
        <v>0</v>
      </c>
      <c r="J10" s="15" t="n">
        <v>10000</v>
      </c>
      <c r="K10" s="15" t="n">
        <v>23172</v>
      </c>
      <c r="L10" s="15" t="n">
        <v>23172</v>
      </c>
      <c r="M10" s="15" t="n">
        <v>23172</v>
      </c>
      <c r="N10" s="15" t="n">
        <v>23172</v>
      </c>
      <c r="O10" s="15" t="n">
        <v>23172</v>
      </c>
      <c r="P10" s="15" t="n">
        <v>23172</v>
      </c>
      <c r="Q10" s="15" t="n">
        <v>23172</v>
      </c>
      <c r="R10" s="15" t="n">
        <v>23172</v>
      </c>
      <c r="S10" s="15" t="n">
        <v>23172</v>
      </c>
      <c r="T10" s="15" t="n">
        <v>23172</v>
      </c>
    </row>
    <row r="11" customFormat="false" ht="15" hidden="false" customHeight="false" outlineLevel="0" collapsed="false">
      <c r="A11" s="2" t="n">
        <v>2015</v>
      </c>
      <c r="B11" s="1"/>
      <c r="C11" s="1"/>
      <c r="D11" s="1"/>
      <c r="E11" s="1"/>
      <c r="F11" s="1"/>
      <c r="G11" s="1"/>
      <c r="H11" s="1"/>
      <c r="I11" s="1"/>
      <c r="J11" s="15" t="n">
        <v>1000</v>
      </c>
      <c r="K11" s="15" t="n">
        <v>7390</v>
      </c>
      <c r="L11" s="15" t="n">
        <v>11780</v>
      </c>
      <c r="M11" s="15" t="n">
        <v>36105</v>
      </c>
      <c r="N11" s="15" t="n">
        <v>31462</v>
      </c>
      <c r="O11" s="15" t="n">
        <v>31462</v>
      </c>
      <c r="P11" s="15" t="n">
        <v>31462</v>
      </c>
      <c r="Q11" s="15" t="n">
        <v>31462</v>
      </c>
      <c r="R11" s="15" t="n">
        <v>31462</v>
      </c>
      <c r="S11" s="15" t="n">
        <v>31462</v>
      </c>
      <c r="T11" s="15" t="n">
        <v>31462</v>
      </c>
    </row>
    <row r="12" customFormat="false" ht="15" hidden="false" customHeight="false" outlineLevel="0" collapsed="false">
      <c r="A12" s="2" t="n">
        <v>2016</v>
      </c>
      <c r="B12" s="1"/>
      <c r="C12" s="1"/>
      <c r="D12" s="1"/>
      <c r="E12" s="1"/>
      <c r="F12" s="1"/>
      <c r="G12" s="1"/>
      <c r="H12" s="1"/>
      <c r="I12" s="1"/>
      <c r="J12" s="1"/>
      <c r="K12" s="15" t="n">
        <v>1592</v>
      </c>
      <c r="L12" s="15" t="n">
        <v>2592</v>
      </c>
      <c r="M12" s="15" t="n">
        <v>2592</v>
      </c>
      <c r="N12" s="15" t="n">
        <v>2439</v>
      </c>
      <c r="O12" s="15" t="n">
        <v>2439</v>
      </c>
      <c r="P12" s="15" t="n">
        <v>2439</v>
      </c>
      <c r="Q12" s="15" t="n">
        <v>2439</v>
      </c>
      <c r="R12" s="15" t="n">
        <v>2439</v>
      </c>
      <c r="S12" s="15" t="n">
        <v>2439</v>
      </c>
      <c r="T12" s="15" t="n">
        <v>2439</v>
      </c>
    </row>
    <row r="13" customFormat="false" ht="15" hidden="false" customHeight="false" outlineLevel="0" collapsed="false">
      <c r="A13" s="2" t="n">
        <v>2017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5" t="n">
        <v>0</v>
      </c>
      <c r="M13" s="15" t="n">
        <v>0</v>
      </c>
      <c r="N13" s="15" t="n">
        <v>4132</v>
      </c>
      <c r="O13" s="15" t="n">
        <v>5302</v>
      </c>
      <c r="P13" s="15" t="n">
        <v>6410</v>
      </c>
      <c r="Q13" s="15" t="n">
        <v>6410</v>
      </c>
      <c r="R13" s="15" t="n">
        <v>6410</v>
      </c>
      <c r="S13" s="15" t="n">
        <v>6410</v>
      </c>
      <c r="T13" s="15" t="n">
        <v>6410</v>
      </c>
    </row>
    <row r="14" customFormat="false" ht="15" hidden="false" customHeight="false" outlineLevel="0" collapsed="false">
      <c r="A14" s="2" t="n">
        <v>2018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5" t="n">
        <v>492</v>
      </c>
      <c r="N14" s="15" t="n">
        <v>812</v>
      </c>
      <c r="O14" s="15" t="n">
        <v>812</v>
      </c>
      <c r="P14" s="15" t="n">
        <v>1613</v>
      </c>
      <c r="Q14" s="15" t="n">
        <v>1613</v>
      </c>
      <c r="R14" s="15" t="n">
        <v>1613</v>
      </c>
      <c r="S14" s="15" t="n">
        <v>1613</v>
      </c>
      <c r="T14" s="15" t="n">
        <v>1613</v>
      </c>
    </row>
    <row r="15" customFormat="false" ht="15" hidden="false" customHeight="false" outlineLevel="0" collapsed="false">
      <c r="A15" s="2" t="n">
        <v>2019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5" t="n">
        <v>9320</v>
      </c>
      <c r="O15" s="15" t="n">
        <v>14672</v>
      </c>
      <c r="P15" s="15" t="n">
        <v>28896</v>
      </c>
      <c r="Q15" s="15" t="n">
        <v>28896</v>
      </c>
      <c r="R15" s="15" t="n">
        <v>28896</v>
      </c>
      <c r="S15" s="15" t="n">
        <v>28896</v>
      </c>
      <c r="T15" s="15" t="n">
        <v>28896</v>
      </c>
    </row>
    <row r="16" customFormat="false" ht="15" hidden="false" customHeight="false" outlineLevel="0" collapsed="false">
      <c r="A16" s="2" t="n">
        <v>2020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5" t="n">
        <v>3</v>
      </c>
      <c r="P16" s="15" t="n">
        <v>99634</v>
      </c>
      <c r="Q16" s="15" t="n">
        <v>99634</v>
      </c>
      <c r="R16" s="15" t="n">
        <v>99635</v>
      </c>
      <c r="S16" s="15" t="n">
        <v>99635</v>
      </c>
      <c r="T16" s="15" t="n">
        <v>99635</v>
      </c>
    </row>
    <row r="17" customFormat="false" ht="15" hidden="false" customHeight="false" outlineLevel="0" collapsed="false">
      <c r="A17" s="2" t="n">
        <v>2021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5" t="n">
        <v>60674</v>
      </c>
      <c r="Q17" s="15" t="n">
        <v>115040</v>
      </c>
      <c r="R17" s="15" t="n">
        <v>115040</v>
      </c>
      <c r="S17" s="15" t="n">
        <v>115040</v>
      </c>
      <c r="T17" s="15" t="n">
        <v>115040</v>
      </c>
    </row>
    <row r="18" customFormat="false" ht="15" hidden="false" customHeight="false" outlineLevel="0" collapsed="false">
      <c r="A18" s="2" t="n">
        <v>2022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5" t="n">
        <v>2945</v>
      </c>
      <c r="R18" s="15" t="n">
        <v>8113</v>
      </c>
      <c r="S18" s="15" t="n">
        <v>10620</v>
      </c>
      <c r="T18" s="15" t="n">
        <v>10620</v>
      </c>
    </row>
    <row r="19" customFormat="false" ht="15" hidden="false" customHeight="false" outlineLevel="0" collapsed="false">
      <c r="A19" s="2" t="n">
        <v>2023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5" t="n">
        <v>372</v>
      </c>
      <c r="S19" s="15" t="n">
        <v>40273</v>
      </c>
      <c r="T19" s="15" t="n">
        <v>40273</v>
      </c>
    </row>
    <row r="20" customFormat="false" ht="15" hidden="false" customHeight="false" outlineLevel="0" collapsed="false">
      <c r="A20" s="2" t="n">
        <v>2024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5" t="n">
        <v>5905</v>
      </c>
      <c r="T20" s="15" t="n">
        <v>5906</v>
      </c>
    </row>
    <row r="21" customFormat="false" ht="15" hidden="false" customHeight="false" outlineLevel="0" collapsed="false">
      <c r="A21" s="2" t="n">
        <v>2025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5" t="n">
        <v>1</v>
      </c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customFormat="false" ht="15" hidden="false" customHeight="false" outlineLevel="0" collapsed="false">
      <c r="A23" s="2" t="s">
        <v>109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customFormat="false" ht="15" hidden="false" customHeight="false" outlineLevel="0" collapsed="false">
      <c r="A24" s="2" t="s">
        <v>108</v>
      </c>
      <c r="B24" s="2" t="n">
        <v>2007</v>
      </c>
      <c r="C24" s="2" t="n">
        <v>2008</v>
      </c>
      <c r="D24" s="2" t="n">
        <v>2009</v>
      </c>
      <c r="E24" s="2" t="n">
        <v>2010</v>
      </c>
      <c r="F24" s="2" t="n">
        <v>2011</v>
      </c>
      <c r="G24" s="2" t="n">
        <v>2012</v>
      </c>
      <c r="H24" s="2" t="n">
        <v>2013</v>
      </c>
      <c r="I24" s="2" t="n">
        <v>2014</v>
      </c>
      <c r="J24" s="2" t="n">
        <v>2015</v>
      </c>
      <c r="K24" s="2" t="n">
        <v>2016</v>
      </c>
      <c r="L24" s="2" t="n">
        <v>2017</v>
      </c>
      <c r="M24" s="2" t="n">
        <v>2018</v>
      </c>
      <c r="N24" s="2" t="n">
        <v>2019</v>
      </c>
      <c r="O24" s="2" t="n">
        <v>2020</v>
      </c>
      <c r="P24" s="2" t="n">
        <v>2021</v>
      </c>
      <c r="Q24" s="2" t="n">
        <v>2022</v>
      </c>
      <c r="R24" s="2" t="n">
        <v>2023</v>
      </c>
      <c r="S24" s="2" t="n">
        <v>2024</v>
      </c>
      <c r="T24" s="2" t="n">
        <v>2025</v>
      </c>
    </row>
    <row r="25" customFormat="false" ht="15" hidden="false" customHeight="false" outlineLevel="0" collapsed="false">
      <c r="A25" s="2" t="n">
        <v>2007</v>
      </c>
      <c r="B25" s="15" t="n">
        <v>1318</v>
      </c>
      <c r="C25" s="15" t="n">
        <v>1509</v>
      </c>
      <c r="D25" s="15" t="n">
        <v>1438</v>
      </c>
      <c r="E25" s="15" t="n">
        <v>1397</v>
      </c>
      <c r="F25" s="15" t="n">
        <v>1391</v>
      </c>
      <c r="G25" s="15" t="n">
        <v>1572</v>
      </c>
      <c r="H25" s="15" t="n">
        <v>1619</v>
      </c>
      <c r="I25" s="15" t="n">
        <v>1317</v>
      </c>
      <c r="J25" s="15" t="n">
        <v>1514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</row>
    <row r="26" customFormat="false" ht="15" hidden="false" customHeight="false" outlineLevel="0" collapsed="false">
      <c r="A26" s="2" t="n">
        <v>2008</v>
      </c>
      <c r="B26" s="1"/>
      <c r="C26" s="15" t="n">
        <v>9317</v>
      </c>
      <c r="D26" s="15" t="n">
        <v>738</v>
      </c>
      <c r="E26" s="15" t="n">
        <v>806</v>
      </c>
      <c r="F26" s="15" t="n">
        <v>784</v>
      </c>
      <c r="G26" s="15" t="n">
        <v>837</v>
      </c>
      <c r="H26" s="15" t="n">
        <v>689</v>
      </c>
      <c r="I26" s="15" t="n">
        <v>788</v>
      </c>
      <c r="J26" s="15" t="n">
        <v>769</v>
      </c>
      <c r="K26" s="15" t="n">
        <v>3</v>
      </c>
      <c r="L26" s="15" t="n">
        <v>3</v>
      </c>
      <c r="M26" s="15" t="n">
        <v>3</v>
      </c>
      <c r="N26" s="15" t="n">
        <v>3</v>
      </c>
      <c r="O26" s="15" t="n">
        <v>3</v>
      </c>
      <c r="P26" s="15" t="n">
        <v>3</v>
      </c>
      <c r="Q26" s="15" t="n">
        <v>3</v>
      </c>
      <c r="R26" s="15" t="n">
        <v>3</v>
      </c>
      <c r="S26" s="15" t="n">
        <v>3</v>
      </c>
      <c r="T26" s="15" t="n">
        <v>3</v>
      </c>
    </row>
    <row r="27" customFormat="false" ht="15" hidden="false" customHeight="false" outlineLevel="0" collapsed="false">
      <c r="A27" s="2" t="n">
        <v>2009</v>
      </c>
      <c r="B27" s="1"/>
      <c r="C27" s="1"/>
      <c r="D27" s="15" t="n">
        <v>10405</v>
      </c>
      <c r="E27" s="15" t="n">
        <v>2973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</row>
    <row r="28" customFormat="false" ht="15" hidden="false" customHeight="false" outlineLevel="0" collapsed="false">
      <c r="A28" s="2" t="n">
        <v>2010</v>
      </c>
      <c r="B28" s="1"/>
      <c r="C28" s="1"/>
      <c r="D28" s="1"/>
      <c r="E28" s="15" t="n">
        <v>8957</v>
      </c>
      <c r="F28" s="15" t="n">
        <v>8572</v>
      </c>
      <c r="G28" s="15" t="n">
        <v>8759</v>
      </c>
      <c r="H28" s="15" t="n">
        <v>8696</v>
      </c>
      <c r="I28" s="15" t="n">
        <v>7867</v>
      </c>
      <c r="J28" s="15" t="n">
        <v>7656</v>
      </c>
      <c r="K28" s="15" t="n">
        <v>7312</v>
      </c>
      <c r="L28" s="15" t="n">
        <v>6424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</row>
    <row r="29" customFormat="false" ht="15" hidden="false" customHeight="false" outlineLevel="0" collapsed="false">
      <c r="A29" s="2" t="n">
        <v>2011</v>
      </c>
      <c r="B29" s="1"/>
      <c r="C29" s="1"/>
      <c r="D29" s="1"/>
      <c r="E29" s="1"/>
      <c r="F29" s="15" t="n">
        <v>19068</v>
      </c>
      <c r="G29" s="15" t="n">
        <v>16442</v>
      </c>
      <c r="H29" s="15" t="n">
        <v>5479</v>
      </c>
      <c r="I29" s="15" t="n">
        <v>4868</v>
      </c>
      <c r="J29" s="15" t="n">
        <v>5239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</row>
    <row r="30" customFormat="false" ht="15" hidden="false" customHeight="false" outlineLevel="0" collapsed="false">
      <c r="A30" s="2" t="n">
        <v>2012</v>
      </c>
      <c r="B30" s="1"/>
      <c r="C30" s="1"/>
      <c r="D30" s="1"/>
      <c r="E30" s="1"/>
      <c r="F30" s="1"/>
      <c r="G30" s="15" t="n">
        <v>36177</v>
      </c>
      <c r="H30" s="15" t="n">
        <v>39659</v>
      </c>
      <c r="I30" s="15" t="n">
        <v>5544</v>
      </c>
      <c r="J30" s="15" t="n">
        <v>4945</v>
      </c>
      <c r="K30" s="15" t="n">
        <v>0</v>
      </c>
      <c r="L30" s="15" t="n">
        <v>0</v>
      </c>
      <c r="M30" s="15" t="n">
        <v>0</v>
      </c>
      <c r="N30" s="15" t="n">
        <v>0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</row>
    <row r="31" customFormat="false" ht="15" hidden="false" customHeight="false" outlineLevel="0" collapsed="false">
      <c r="A31" s="2" t="n">
        <v>2013</v>
      </c>
      <c r="B31" s="1"/>
      <c r="C31" s="1"/>
      <c r="D31" s="1"/>
      <c r="E31" s="1"/>
      <c r="F31" s="1"/>
      <c r="G31" s="1"/>
      <c r="H31" s="15" t="n">
        <v>7954</v>
      </c>
      <c r="I31" s="15" t="n">
        <v>7642</v>
      </c>
      <c r="J31" s="15" t="n">
        <v>7685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</row>
    <row r="32" customFormat="false" ht="15" hidden="false" customHeight="false" outlineLevel="0" collapsed="false">
      <c r="A32" s="2" t="n">
        <v>2014</v>
      </c>
      <c r="B32" s="1"/>
      <c r="C32" s="1"/>
      <c r="D32" s="1"/>
      <c r="E32" s="1"/>
      <c r="F32" s="1"/>
      <c r="G32" s="1"/>
      <c r="H32" s="1"/>
      <c r="I32" s="15" t="n">
        <v>21326</v>
      </c>
      <c r="J32" s="15" t="n">
        <v>14253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</row>
    <row r="33" customFormat="false" ht="15" hidden="false" customHeight="false" outlineLevel="0" collapsed="false">
      <c r="A33" s="2" t="n">
        <v>2015</v>
      </c>
      <c r="B33" s="1"/>
      <c r="C33" s="1"/>
      <c r="D33" s="1"/>
      <c r="E33" s="1"/>
      <c r="F33" s="1"/>
      <c r="G33" s="1"/>
      <c r="H33" s="1"/>
      <c r="I33" s="1"/>
      <c r="J33" s="15" t="n">
        <v>28183</v>
      </c>
      <c r="K33" s="15" t="n">
        <v>25671</v>
      </c>
      <c r="L33" s="15" t="n">
        <v>19082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</row>
    <row r="34" customFormat="false" ht="15" hidden="false" customHeight="false" outlineLevel="0" collapsed="false">
      <c r="A34" s="2" t="n">
        <v>2016</v>
      </c>
      <c r="B34" s="1"/>
      <c r="C34" s="1"/>
      <c r="D34" s="1"/>
      <c r="E34" s="1"/>
      <c r="F34" s="1"/>
      <c r="G34" s="1"/>
      <c r="H34" s="1"/>
      <c r="I34" s="1"/>
      <c r="J34" s="1"/>
      <c r="K34" s="15" t="n">
        <v>931</v>
      </c>
      <c r="L34" s="15" t="n">
        <v>0</v>
      </c>
      <c r="M34" s="15" t="n">
        <v>0</v>
      </c>
      <c r="N34" s="15" t="n">
        <v>0</v>
      </c>
      <c r="O34" s="15" t="n">
        <v>0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</row>
    <row r="35" customFormat="false" ht="15" hidden="false" customHeight="false" outlineLevel="0" collapsed="false">
      <c r="A35" s="2" t="n">
        <v>2017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5" t="n">
        <v>7019</v>
      </c>
      <c r="M35" s="15" t="n">
        <v>7149</v>
      </c>
      <c r="N35" s="15" t="n">
        <v>2626</v>
      </c>
      <c r="O35" s="15" t="n">
        <v>1111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</row>
    <row r="36" customFormat="false" ht="15" hidden="false" customHeight="false" outlineLevel="0" collapsed="false">
      <c r="A36" s="2" t="n">
        <v>2018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5" t="n">
        <v>1935</v>
      </c>
      <c r="N36" s="15" t="n">
        <v>1907</v>
      </c>
      <c r="O36" s="15" t="n">
        <v>1548</v>
      </c>
      <c r="P36" s="15" t="n">
        <v>750</v>
      </c>
      <c r="Q36" s="15" t="n">
        <v>811</v>
      </c>
      <c r="R36" s="15" t="n">
        <v>747</v>
      </c>
      <c r="S36" s="15" t="n">
        <v>787</v>
      </c>
      <c r="T36" s="15" t="n">
        <v>804</v>
      </c>
    </row>
    <row r="37" customFormat="false" ht="15" hidden="false" customHeight="false" outlineLevel="0" collapsed="false">
      <c r="A37" s="2" t="n">
        <v>2019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5" t="n">
        <v>24795</v>
      </c>
      <c r="O37" s="15" t="n">
        <v>15693</v>
      </c>
      <c r="P37" s="15" t="n">
        <v>1655</v>
      </c>
      <c r="Q37" s="15" t="n">
        <v>1494</v>
      </c>
      <c r="R37" s="15" t="n">
        <v>1692</v>
      </c>
      <c r="S37" s="15" t="n">
        <v>1443</v>
      </c>
      <c r="T37" s="15" t="n">
        <v>1539</v>
      </c>
    </row>
    <row r="38" customFormat="false" ht="15" hidden="false" customHeight="false" outlineLevel="0" collapsed="false">
      <c r="A38" s="2" t="n">
        <v>2020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5" t="n">
        <v>157445</v>
      </c>
      <c r="P38" s="15" t="n">
        <v>39894</v>
      </c>
      <c r="Q38" s="15" t="n">
        <v>37106</v>
      </c>
      <c r="R38" s="15" t="n">
        <v>43801</v>
      </c>
      <c r="S38" s="15" t="n">
        <v>41424</v>
      </c>
      <c r="T38" s="15" t="n">
        <v>38849</v>
      </c>
    </row>
    <row r="39" customFormat="false" ht="15" hidden="false" customHeight="false" outlineLevel="0" collapsed="false">
      <c r="A39" s="2" t="n">
        <v>2021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5" t="n">
        <v>136638</v>
      </c>
      <c r="Q39" s="15" t="n">
        <v>75935</v>
      </c>
      <c r="R39" s="15" t="n">
        <v>88605</v>
      </c>
      <c r="S39" s="15" t="n">
        <v>78856</v>
      </c>
      <c r="T39" s="15" t="n">
        <v>78107</v>
      </c>
    </row>
    <row r="40" customFormat="false" ht="15" hidden="false" customHeight="false" outlineLevel="0" collapsed="false">
      <c r="A40" s="2" t="n">
        <v>2022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5" t="n">
        <v>63268</v>
      </c>
      <c r="R40" s="15" t="n">
        <v>76294</v>
      </c>
      <c r="S40" s="15" t="n">
        <v>56028</v>
      </c>
      <c r="T40" s="15" t="n">
        <v>61627</v>
      </c>
    </row>
    <row r="41" customFormat="false" ht="15" hidden="false" customHeight="false" outlineLevel="0" collapsed="false">
      <c r="A41" s="2" t="n">
        <v>2023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5" t="n">
        <v>156476</v>
      </c>
      <c r="S41" s="15" t="n">
        <v>132306</v>
      </c>
      <c r="T41" s="15" t="n">
        <v>127249</v>
      </c>
    </row>
    <row r="42" customFormat="false" ht="15" hidden="false" customHeight="false" outlineLevel="0" collapsed="false">
      <c r="A42" s="2" t="n">
        <v>2024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5" t="n">
        <v>1786</v>
      </c>
      <c r="T42" s="15" t="n">
        <v>1855</v>
      </c>
    </row>
    <row r="43" customFormat="false" ht="15" hidden="false" customHeight="false" outlineLevel="0" collapsed="false">
      <c r="A43" s="2" t="n">
        <v>2025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5" t="n">
        <v>18921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false" outlineLevel="0" collapsed="false">
      <c r="A1" s="2" t="s">
        <v>110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  <c r="N1" s="2" t="n">
        <v>13</v>
      </c>
      <c r="O1" s="2" t="n">
        <v>14</v>
      </c>
      <c r="P1" s="2" t="n">
        <v>15</v>
      </c>
      <c r="Q1" s="2" t="n">
        <v>16</v>
      </c>
      <c r="R1" s="2" t="n">
        <v>17</v>
      </c>
      <c r="S1" s="2" t="n">
        <v>18</v>
      </c>
      <c r="T1" s="2" t="n">
        <v>19</v>
      </c>
      <c r="U1" s="2" t="n">
        <v>20</v>
      </c>
      <c r="V1" s="2" t="n">
        <v>21</v>
      </c>
      <c r="W1" s="2" t="n">
        <v>22</v>
      </c>
      <c r="X1" s="2" t="n">
        <v>23</v>
      </c>
      <c r="Y1" s="2" t="n">
        <v>24</v>
      </c>
      <c r="Z1" s="2" t="n">
        <v>25</v>
      </c>
      <c r="AA1" s="2" t="n">
        <v>26</v>
      </c>
      <c r="AB1" s="2" t="n">
        <v>27</v>
      </c>
      <c r="AC1" s="2" t="n">
        <v>28</v>
      </c>
      <c r="AD1" s="2" t="n">
        <v>29</v>
      </c>
      <c r="AE1" s="2" t="n">
        <v>30</v>
      </c>
      <c r="AF1" s="2" t="n">
        <v>31</v>
      </c>
      <c r="AG1" s="2" t="n">
        <v>32</v>
      </c>
      <c r="AH1" s="2" t="n">
        <v>33</v>
      </c>
      <c r="AI1" s="2" t="n">
        <v>34</v>
      </c>
      <c r="AJ1" s="2" t="n">
        <v>35</v>
      </c>
      <c r="AK1" s="2" t="n">
        <v>36</v>
      </c>
      <c r="AL1" s="2" t="n">
        <v>37</v>
      </c>
      <c r="AM1" s="2" t="n">
        <v>38</v>
      </c>
      <c r="AN1" s="2" t="n">
        <v>39</v>
      </c>
      <c r="AO1" s="2" t="n">
        <v>40</v>
      </c>
    </row>
    <row r="2" customFormat="false" ht="15" hidden="false" customHeight="false" outlineLevel="0" collapsed="false">
      <c r="A2" s="1" t="s">
        <v>111</v>
      </c>
      <c r="B2" s="16" t="n">
        <v>0.0818906159420382</v>
      </c>
      <c r="C2" s="16" t="n">
        <v>0.420956725941103</v>
      </c>
      <c r="D2" s="16" t="n">
        <v>0.610582494696767</v>
      </c>
      <c r="E2" s="16" t="n">
        <v>0.703600031559663</v>
      </c>
      <c r="F2" s="16" t="n">
        <v>0.864682721504224</v>
      </c>
      <c r="G2" s="16" t="n">
        <v>0.88394308921476</v>
      </c>
      <c r="H2" s="16" t="n">
        <v>0.900227498082865</v>
      </c>
      <c r="I2" s="16" t="n">
        <v>0.914333694673512</v>
      </c>
      <c r="J2" s="16" t="n">
        <v>0.926776241878004</v>
      </c>
      <c r="K2" s="16" t="n">
        <v>0.93790647962622</v>
      </c>
      <c r="L2" s="16" t="n">
        <v>0.947975004390207</v>
      </c>
      <c r="M2" s="16" t="n">
        <v>0.957166847336756</v>
      </c>
      <c r="N2" s="16" t="n">
        <v>0.965622523173715</v>
      </c>
      <c r="O2" s="16" t="n">
        <v>0.973451256204861</v>
      </c>
      <c r="P2" s="16" t="n">
        <v>0.980739632289463</v>
      </c>
      <c r="Q2" s="16" t="n">
        <v>0.987557452795508</v>
      </c>
      <c r="R2" s="16" t="n">
        <v>0.993961810727886</v>
      </c>
      <c r="S2" s="16" t="n">
        <v>1</v>
      </c>
      <c r="T2" s="17" t="n">
        <v>1</v>
      </c>
      <c r="U2" s="17" t="n">
        <v>1</v>
      </c>
      <c r="V2" s="17" t="n">
        <v>1</v>
      </c>
      <c r="W2" s="17" t="n">
        <v>1</v>
      </c>
      <c r="X2" s="17" t="n">
        <v>1</v>
      </c>
      <c r="Y2" s="17" t="n">
        <v>1</v>
      </c>
      <c r="Z2" s="17" t="n">
        <v>1</v>
      </c>
      <c r="AA2" s="17" t="n">
        <v>1</v>
      </c>
      <c r="AB2" s="17" t="n">
        <v>1</v>
      </c>
      <c r="AC2" s="17" t="n">
        <v>1</v>
      </c>
      <c r="AD2" s="17" t="n">
        <v>1</v>
      </c>
      <c r="AE2" s="17" t="n">
        <v>1</v>
      </c>
      <c r="AF2" s="17" t="n">
        <v>1</v>
      </c>
      <c r="AG2" s="17" t="n">
        <v>1</v>
      </c>
      <c r="AH2" s="17" t="n">
        <v>1</v>
      </c>
      <c r="AI2" s="17" t="n">
        <v>1</v>
      </c>
      <c r="AJ2" s="17" t="n">
        <v>1</v>
      </c>
      <c r="AK2" s="17" t="n">
        <v>1</v>
      </c>
      <c r="AL2" s="17" t="n">
        <v>1</v>
      </c>
      <c r="AM2" s="17" t="n">
        <v>1</v>
      </c>
      <c r="AN2" s="17" t="n">
        <v>1</v>
      </c>
      <c r="AO2" s="17" t="n">
        <v>1</v>
      </c>
    </row>
    <row r="3" customFormat="false" ht="15" hidden="false" customHeight="false" outlineLevel="0" collapsed="false">
      <c r="A3" s="1" t="s">
        <v>112</v>
      </c>
      <c r="B3" s="16" t="n">
        <v>0.0938035665022449</v>
      </c>
      <c r="C3" s="16" t="n">
        <v>0.369008487835145</v>
      </c>
      <c r="D3" s="16" t="n">
        <v>0.485124881337061</v>
      </c>
      <c r="E3" s="16" t="n">
        <v>0.636261699499315</v>
      </c>
      <c r="F3" s="16" t="n">
        <v>0.713853132951729</v>
      </c>
      <c r="G3" s="16" t="n">
        <v>0.853496337850895</v>
      </c>
      <c r="H3" s="16" t="n">
        <v>0.873088634688612</v>
      </c>
      <c r="I3" s="16" t="n">
        <v>0.890060254174074</v>
      </c>
      <c r="J3" s="16" t="n">
        <v>0.905030283496119</v>
      </c>
      <c r="K3" s="16" t="n">
        <v>0.918421431041212</v>
      </c>
      <c r="L3" s="16" t="n">
        <v>0.930535197496703</v>
      </c>
      <c r="M3" s="16" t="n">
        <v>0.941594199819299</v>
      </c>
      <c r="N3" s="16" t="n">
        <v>0.951767495780055</v>
      </c>
      <c r="O3" s="16" t="n">
        <v>0.961186496657016</v>
      </c>
      <c r="P3" s="16" t="n">
        <v>0.969955376686437</v>
      </c>
      <c r="Q3" s="16" t="n">
        <v>0.978158116142478</v>
      </c>
      <c r="R3" s="16" t="n">
        <v>0.985863405458314</v>
      </c>
      <c r="S3" s="16" t="n">
        <v>0.993128145464523</v>
      </c>
      <c r="T3" s="16" t="n">
        <v>1</v>
      </c>
      <c r="U3" s="17" t="n">
        <v>1</v>
      </c>
      <c r="V3" s="17" t="n">
        <v>1</v>
      </c>
      <c r="W3" s="17" t="n">
        <v>1</v>
      </c>
      <c r="X3" s="17" t="n">
        <v>1</v>
      </c>
      <c r="Y3" s="17" t="n">
        <v>1</v>
      </c>
      <c r="Z3" s="17" t="n">
        <v>1</v>
      </c>
      <c r="AA3" s="17" t="n">
        <v>1</v>
      </c>
      <c r="AB3" s="17" t="n">
        <v>1</v>
      </c>
      <c r="AC3" s="17" t="n">
        <v>1</v>
      </c>
      <c r="AD3" s="17" t="n">
        <v>1</v>
      </c>
      <c r="AE3" s="17" t="n">
        <v>1</v>
      </c>
      <c r="AF3" s="17" t="n">
        <v>1</v>
      </c>
      <c r="AG3" s="17" t="n">
        <v>1</v>
      </c>
      <c r="AH3" s="17" t="n">
        <v>1</v>
      </c>
      <c r="AI3" s="17" t="n">
        <v>1</v>
      </c>
      <c r="AJ3" s="17" t="n">
        <v>1</v>
      </c>
      <c r="AK3" s="17" t="n">
        <v>1</v>
      </c>
      <c r="AL3" s="17" t="n">
        <v>1</v>
      </c>
      <c r="AM3" s="17" t="n">
        <v>1</v>
      </c>
      <c r="AN3" s="17" t="n">
        <v>1</v>
      </c>
      <c r="AO3" s="17" t="n">
        <v>1</v>
      </c>
    </row>
    <row r="4" customFormat="false" ht="15" hidden="false" customHeight="false" outlineLevel="0" collapsed="false">
      <c r="A4" s="1" t="s">
        <v>113</v>
      </c>
      <c r="B4" s="16" t="n">
        <v>0.1</v>
      </c>
      <c r="C4" s="16" t="n">
        <v>0.368846402342276</v>
      </c>
      <c r="D4" s="16" t="n">
        <v>0.556220040730497</v>
      </c>
      <c r="E4" s="16" t="n">
        <v>0.663061548675573</v>
      </c>
      <c r="F4" s="16" t="n">
        <v>0.77507109085003</v>
      </c>
      <c r="G4" s="16" t="n">
        <v>0.77507109085003</v>
      </c>
      <c r="H4" s="16" t="n">
        <v>0.806631764816554</v>
      </c>
      <c r="I4" s="16" t="n">
        <v>0.833970864142234</v>
      </c>
      <c r="J4" s="16" t="n">
        <v>0.858085658778913</v>
      </c>
      <c r="K4" s="16" t="n">
        <v>0.879657077648734</v>
      </c>
      <c r="L4" s="16" t="n">
        <v>0.899170799637284</v>
      </c>
      <c r="M4" s="16" t="n">
        <v>0.916985432071117</v>
      </c>
      <c r="N4" s="16" t="n">
        <v>0.933373305307312</v>
      </c>
      <c r="O4" s="16" t="n">
        <v>0.948546106037642</v>
      </c>
      <c r="P4" s="16" t="n">
        <v>0.962671645577617</v>
      </c>
      <c r="Q4" s="16" t="n">
        <v>0.975885205363322</v>
      </c>
      <c r="R4" s="16" t="n">
        <v>0.988297436860689</v>
      </c>
      <c r="S4" s="16" t="n">
        <v>1</v>
      </c>
      <c r="T4" s="17" t="n">
        <v>1</v>
      </c>
      <c r="U4" s="17" t="n">
        <v>1</v>
      </c>
      <c r="V4" s="17" t="n">
        <v>1</v>
      </c>
      <c r="W4" s="17" t="n">
        <v>1</v>
      </c>
      <c r="X4" s="17" t="n">
        <v>1</v>
      </c>
      <c r="Y4" s="17" t="n">
        <v>1</v>
      </c>
      <c r="Z4" s="17" t="n">
        <v>1</v>
      </c>
      <c r="AA4" s="17" t="n">
        <v>1</v>
      </c>
      <c r="AB4" s="17" t="n">
        <v>1</v>
      </c>
      <c r="AC4" s="17" t="n">
        <v>1</v>
      </c>
      <c r="AD4" s="17" t="n">
        <v>1</v>
      </c>
      <c r="AE4" s="17" t="n">
        <v>1</v>
      </c>
      <c r="AF4" s="17" t="n">
        <v>1</v>
      </c>
      <c r="AG4" s="17" t="n">
        <v>1</v>
      </c>
      <c r="AH4" s="17" t="n">
        <v>1</v>
      </c>
      <c r="AI4" s="17" t="n">
        <v>1</v>
      </c>
      <c r="AJ4" s="17" t="n">
        <v>1</v>
      </c>
      <c r="AK4" s="17" t="n">
        <v>1</v>
      </c>
      <c r="AL4" s="17" t="n">
        <v>1</v>
      </c>
      <c r="AM4" s="17" t="n">
        <v>1</v>
      </c>
      <c r="AN4" s="17" t="n">
        <v>1</v>
      </c>
      <c r="AO4" s="17" t="n">
        <v>1</v>
      </c>
    </row>
    <row r="5" customFormat="false" ht="15" hidden="false" customHeight="false" outlineLevel="0" collapsed="false">
      <c r="A5" s="1" t="s">
        <v>114</v>
      </c>
      <c r="B5" s="16" t="n">
        <v>0.1</v>
      </c>
      <c r="C5" s="16" t="n">
        <v>0.384978523354072</v>
      </c>
      <c r="D5" s="16" t="n">
        <v>0.500510444466199</v>
      </c>
      <c r="E5" s="16" t="n">
        <v>0.596713467971618</v>
      </c>
      <c r="F5" s="16" t="n">
        <v>0.697262855345031</v>
      </c>
      <c r="G5" s="16" t="n">
        <v>0.697262855345031</v>
      </c>
      <c r="H5" s="16" t="n">
        <v>0.697262855345031</v>
      </c>
      <c r="I5" s="16" t="n">
        <v>0.737747327406244</v>
      </c>
      <c r="J5" s="16" t="n">
        <v>0.773457162543843</v>
      </c>
      <c r="K5" s="16" t="n">
        <v>0.805400698581831</v>
      </c>
      <c r="L5" s="16" t="n">
        <v>0.834297141849576</v>
      </c>
      <c r="M5" s="16" t="n">
        <v>0.860677527701235</v>
      </c>
      <c r="N5" s="16" t="n">
        <v>0.884945130238902</v>
      </c>
      <c r="O5" s="16" t="n">
        <v>0.907413420797414</v>
      </c>
      <c r="P5" s="16" t="n">
        <v>0.928330898876823</v>
      </c>
      <c r="Q5" s="16" t="n">
        <v>0.947897892858627</v>
      </c>
      <c r="R5" s="16" t="n">
        <v>0.966278258403458</v>
      </c>
      <c r="S5" s="16" t="n">
        <v>0.983607727996226</v>
      </c>
      <c r="T5" s="16" t="n">
        <v>1</v>
      </c>
      <c r="U5" s="17" t="n">
        <v>1</v>
      </c>
      <c r="V5" s="17" t="n">
        <v>1</v>
      </c>
      <c r="W5" s="17" t="n">
        <v>1</v>
      </c>
      <c r="X5" s="17" t="n">
        <v>1</v>
      </c>
      <c r="Y5" s="17" t="n">
        <v>1</v>
      </c>
      <c r="Z5" s="17" t="n">
        <v>1</v>
      </c>
      <c r="AA5" s="17" t="n">
        <v>1</v>
      </c>
      <c r="AB5" s="17" t="n">
        <v>1</v>
      </c>
      <c r="AC5" s="17" t="n">
        <v>1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1</v>
      </c>
      <c r="AK5" s="17" t="n">
        <v>1</v>
      </c>
      <c r="AL5" s="17" t="n">
        <v>1</v>
      </c>
      <c r="AM5" s="17" t="n">
        <v>1</v>
      </c>
      <c r="AN5" s="17" t="n">
        <v>1</v>
      </c>
      <c r="AO5" s="17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8" t="s">
        <v>17</v>
      </c>
      <c r="B1" s="18" t="s">
        <v>18</v>
      </c>
      <c r="C1" s="18" t="s">
        <v>19</v>
      </c>
      <c r="D1" s="18" t="n">
        <v>1</v>
      </c>
      <c r="E1" s="18" t="n">
        <v>2</v>
      </c>
      <c r="F1" s="18" t="n">
        <v>3</v>
      </c>
      <c r="G1" s="18" t="n">
        <v>4</v>
      </c>
      <c r="H1" s="18" t="n">
        <v>5</v>
      </c>
      <c r="I1" s="18" t="n">
        <v>6</v>
      </c>
      <c r="J1" s="18" t="n">
        <v>7</v>
      </c>
      <c r="K1" s="18" t="n">
        <v>8</v>
      </c>
      <c r="L1" s="18" t="n">
        <v>9</v>
      </c>
      <c r="M1" s="18" t="n">
        <v>10</v>
      </c>
      <c r="N1" s="18" t="n">
        <v>11</v>
      </c>
      <c r="O1" s="18" t="n">
        <v>12</v>
      </c>
      <c r="P1" s="18" t="n">
        <v>13</v>
      </c>
      <c r="Q1" s="18" t="n">
        <v>14</v>
      </c>
      <c r="R1" s="18" t="n">
        <v>15</v>
      </c>
      <c r="S1" s="18" t="n">
        <v>16</v>
      </c>
      <c r="T1" s="18" t="n">
        <v>17</v>
      </c>
      <c r="U1" s="18" t="n">
        <v>18</v>
      </c>
      <c r="V1" s="18" t="n">
        <v>19</v>
      </c>
    </row>
    <row r="2" customFormat="false" ht="15" hidden="false" customHeight="false" outlineLevel="0" collapsed="false">
      <c r="A2" s="18" t="s">
        <v>20</v>
      </c>
      <c r="B2" s="18" t="s">
        <v>59</v>
      </c>
      <c r="C2" s="18" t="s">
        <v>21</v>
      </c>
      <c r="D2" s="18" t="n">
        <v>0.0818906159420382</v>
      </c>
      <c r="E2" s="18" t="n">
        <v>0.420956725941103</v>
      </c>
      <c r="F2" s="18" t="n">
        <v>0.610582494696767</v>
      </c>
      <c r="G2" s="18" t="n">
        <v>0.703600031559663</v>
      </c>
      <c r="H2" s="18" t="n">
        <v>0.864682721504224</v>
      </c>
      <c r="I2" s="18" t="n">
        <v>0.88394308921476</v>
      </c>
      <c r="J2" s="18" t="n">
        <v>0.900227498082865</v>
      </c>
      <c r="K2" s="18" t="n">
        <v>0.914333694673512</v>
      </c>
      <c r="L2" s="18" t="n">
        <v>0.926776241878004</v>
      </c>
      <c r="M2" s="18" t="n">
        <v>0.93790647962622</v>
      </c>
      <c r="N2" s="18" t="n">
        <v>0.947975004390207</v>
      </c>
      <c r="O2" s="18" t="n">
        <v>0.957166847336756</v>
      </c>
      <c r="P2" s="18" t="n">
        <v>0.965622523173715</v>
      </c>
      <c r="Q2" s="18" t="n">
        <v>0.973451256204861</v>
      </c>
      <c r="R2" s="18" t="n">
        <v>0.980739632289463</v>
      </c>
      <c r="S2" s="18" t="n">
        <v>0.987557452795508</v>
      </c>
      <c r="T2" s="18" t="n">
        <v>0.993961810727886</v>
      </c>
      <c r="U2" s="18" t="n">
        <v>1</v>
      </c>
      <c r="V2" s="1"/>
    </row>
    <row r="3" customFormat="false" ht="15" hidden="false" customHeight="false" outlineLevel="0" collapsed="false">
      <c r="A3" s="18" t="s">
        <v>20</v>
      </c>
      <c r="B3" s="18" t="s">
        <v>59</v>
      </c>
      <c r="C3" s="18" t="s">
        <v>22</v>
      </c>
      <c r="D3" s="18" t="n">
        <v>0.1</v>
      </c>
      <c r="E3" s="18" t="n">
        <v>0.368846402342276</v>
      </c>
      <c r="F3" s="18" t="n">
        <v>0.556220040730497</v>
      </c>
      <c r="G3" s="18" t="n">
        <v>0.663061548675573</v>
      </c>
      <c r="H3" s="18" t="n">
        <v>0.77507109085003</v>
      </c>
      <c r="I3" s="18" t="n">
        <v>0.77507109085003</v>
      </c>
      <c r="J3" s="18" t="n">
        <v>0.806631764816554</v>
      </c>
      <c r="K3" s="18" t="n">
        <v>0.833970864142234</v>
      </c>
      <c r="L3" s="18" t="n">
        <v>0.858085658778913</v>
      </c>
      <c r="M3" s="18" t="n">
        <v>0.879657077648734</v>
      </c>
      <c r="N3" s="18" t="n">
        <v>0.899170799637284</v>
      </c>
      <c r="O3" s="18" t="n">
        <v>0.916985432071117</v>
      </c>
      <c r="P3" s="18" t="n">
        <v>0.933373305307312</v>
      </c>
      <c r="Q3" s="18" t="n">
        <v>0.948546106037642</v>
      </c>
      <c r="R3" s="18" t="n">
        <v>0.962671645577617</v>
      </c>
      <c r="S3" s="18" t="n">
        <v>0.975885205363322</v>
      </c>
      <c r="T3" s="18" t="n">
        <v>0.988297436860689</v>
      </c>
      <c r="U3" s="18" t="n">
        <v>1</v>
      </c>
      <c r="V3" s="1"/>
    </row>
    <row r="4" customFormat="false" ht="15" hidden="false" customHeight="false" outlineLevel="0" collapsed="false">
      <c r="A4" s="18" t="s">
        <v>20</v>
      </c>
      <c r="B4" s="18" t="s">
        <v>60</v>
      </c>
      <c r="C4" s="18" t="s">
        <v>21</v>
      </c>
      <c r="D4" s="18" t="n">
        <v>0.0938035665022449</v>
      </c>
      <c r="E4" s="18" t="n">
        <v>0.369008487835145</v>
      </c>
      <c r="F4" s="18" t="n">
        <v>0.485124881337061</v>
      </c>
      <c r="G4" s="18" t="n">
        <v>0.636261699499315</v>
      </c>
      <c r="H4" s="18" t="n">
        <v>0.713853132951729</v>
      </c>
      <c r="I4" s="18" t="n">
        <v>0.853496337850895</v>
      </c>
      <c r="J4" s="18" t="n">
        <v>0.873088634688612</v>
      </c>
      <c r="K4" s="18" t="n">
        <v>0.890060254174074</v>
      </c>
      <c r="L4" s="18" t="n">
        <v>0.905030283496119</v>
      </c>
      <c r="M4" s="18" t="n">
        <v>0.918421431041212</v>
      </c>
      <c r="N4" s="18" t="n">
        <v>0.930535197496703</v>
      </c>
      <c r="O4" s="18" t="n">
        <v>0.941594199819299</v>
      </c>
      <c r="P4" s="18" t="n">
        <v>0.951767495780055</v>
      </c>
      <c r="Q4" s="18" t="n">
        <v>0.961186496657016</v>
      </c>
      <c r="R4" s="18" t="n">
        <v>0.969955376686437</v>
      </c>
      <c r="S4" s="18" t="n">
        <v>0.978158116142478</v>
      </c>
      <c r="T4" s="18" t="n">
        <v>0.985863405458314</v>
      </c>
      <c r="U4" s="18" t="n">
        <v>0.993128145464523</v>
      </c>
      <c r="V4" s="18" t="n">
        <v>1</v>
      </c>
    </row>
    <row r="5" customFormat="false" ht="15" hidden="false" customHeight="false" outlineLevel="0" collapsed="false">
      <c r="A5" s="18" t="s">
        <v>20</v>
      </c>
      <c r="B5" s="18" t="s">
        <v>60</v>
      </c>
      <c r="C5" s="18" t="s">
        <v>22</v>
      </c>
      <c r="D5" s="18" t="n">
        <v>0.1</v>
      </c>
      <c r="E5" s="18" t="n">
        <v>0.384978523354072</v>
      </c>
      <c r="F5" s="18" t="n">
        <v>0.500510444466199</v>
      </c>
      <c r="G5" s="18" t="n">
        <v>0.596713467971618</v>
      </c>
      <c r="H5" s="18" t="n">
        <v>0.697262855345031</v>
      </c>
      <c r="I5" s="18" t="n">
        <v>0.697262855345031</v>
      </c>
      <c r="J5" s="18" t="n">
        <v>0.697262855345031</v>
      </c>
      <c r="K5" s="18" t="n">
        <v>0.737747327406244</v>
      </c>
      <c r="L5" s="18" t="n">
        <v>0.773457162543843</v>
      </c>
      <c r="M5" s="18" t="n">
        <v>0.805400698581831</v>
      </c>
      <c r="N5" s="18" t="n">
        <v>0.834297141849576</v>
      </c>
      <c r="O5" s="18" t="n">
        <v>0.860677527701235</v>
      </c>
      <c r="P5" s="18" t="n">
        <v>0.884945130238902</v>
      </c>
      <c r="Q5" s="18" t="n">
        <v>0.907413420797414</v>
      </c>
      <c r="R5" s="18" t="n">
        <v>0.928330898876823</v>
      </c>
      <c r="S5" s="18" t="n">
        <v>0.947897892858627</v>
      </c>
      <c r="T5" s="18" t="n">
        <v>0.966278258403458</v>
      </c>
      <c r="U5" s="18" t="n">
        <v>0.983607727996226</v>
      </c>
      <c r="V5" s="1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8" t="s">
        <v>17</v>
      </c>
      <c r="B1" s="18" t="s">
        <v>18</v>
      </c>
      <c r="C1" s="18" t="s">
        <v>23</v>
      </c>
      <c r="D1" s="18" t="n">
        <v>1</v>
      </c>
      <c r="E1" s="18" t="n">
        <v>2</v>
      </c>
      <c r="F1" s="18" t="n">
        <v>3</v>
      </c>
      <c r="G1" s="18" t="n">
        <v>4</v>
      </c>
      <c r="H1" s="18" t="n">
        <v>5</v>
      </c>
      <c r="I1" s="18" t="n">
        <v>6</v>
      </c>
      <c r="J1" s="18" t="n">
        <v>7</v>
      </c>
      <c r="K1" s="18" t="n">
        <v>8</v>
      </c>
      <c r="L1" s="18" t="n">
        <v>9</v>
      </c>
      <c r="M1" s="18" t="n">
        <v>10</v>
      </c>
      <c r="N1" s="18" t="n">
        <v>11</v>
      </c>
      <c r="O1" s="18" t="n">
        <v>12</v>
      </c>
      <c r="P1" s="18" t="n">
        <v>13</v>
      </c>
      <c r="Q1" s="18" t="n">
        <v>14</v>
      </c>
      <c r="R1" s="18" t="n">
        <v>15</v>
      </c>
      <c r="S1" s="18" t="n">
        <v>16</v>
      </c>
      <c r="T1" s="18" t="n">
        <v>17</v>
      </c>
      <c r="U1" s="18" t="n">
        <v>18</v>
      </c>
      <c r="V1" s="18" t="n">
        <v>19</v>
      </c>
    </row>
    <row r="2" customFormat="false" ht="15" hidden="false" customHeight="false" outlineLevel="0" collapsed="false">
      <c r="A2" s="18" t="s">
        <v>20</v>
      </c>
      <c r="B2" s="18" t="s">
        <v>59</v>
      </c>
      <c r="C2" s="18" t="s">
        <v>24</v>
      </c>
      <c r="D2" s="1"/>
      <c r="E2" s="18" t="n">
        <v>0.256764510864021</v>
      </c>
      <c r="F2" s="18" t="n">
        <v>0.21095106837164</v>
      </c>
      <c r="G2" s="18" t="n">
        <v>0.436240678766334</v>
      </c>
      <c r="H2" s="18" t="n">
        <v>0.618515562649641</v>
      </c>
      <c r="I2" s="18" t="n">
        <v>0.738582034661886</v>
      </c>
      <c r="J2" s="18" t="n">
        <v>0.925974262474202</v>
      </c>
      <c r="K2" s="18" t="n">
        <v>0.914823261117446</v>
      </c>
      <c r="L2" s="18" t="n">
        <v>1</v>
      </c>
      <c r="M2" s="18" t="n">
        <v>1</v>
      </c>
      <c r="N2" s="18" t="n">
        <v>1</v>
      </c>
      <c r="O2" s="18" t="n">
        <v>1</v>
      </c>
      <c r="P2" s="18" t="n">
        <v>1</v>
      </c>
      <c r="Q2" s="18" t="n">
        <v>1</v>
      </c>
      <c r="R2" s="18" t="n">
        <v>1</v>
      </c>
      <c r="S2" s="18" t="n">
        <v>1</v>
      </c>
      <c r="T2" s="18" t="n">
        <v>0.999835733450145</v>
      </c>
      <c r="U2" s="18" t="n">
        <v>0.999723680574744</v>
      </c>
      <c r="V2" s="18" t="n">
        <v>1</v>
      </c>
    </row>
    <row r="3" customFormat="false" ht="15" hidden="false" customHeight="false" outlineLevel="0" collapsed="false">
      <c r="A3" s="18" t="s">
        <v>20</v>
      </c>
      <c r="B3" s="18" t="s">
        <v>59</v>
      </c>
      <c r="C3" s="18" t="s">
        <v>25</v>
      </c>
      <c r="D3" s="1"/>
      <c r="E3" s="18" t="n">
        <v>1</v>
      </c>
      <c r="F3" s="18" t="n">
        <v>2</v>
      </c>
      <c r="G3" s="18" t="n">
        <v>2</v>
      </c>
      <c r="H3" s="18" t="n">
        <v>2</v>
      </c>
      <c r="I3" s="18" t="n">
        <v>2</v>
      </c>
      <c r="J3" s="18" t="n">
        <v>2</v>
      </c>
      <c r="K3" s="18" t="n">
        <v>2</v>
      </c>
      <c r="L3" s="18" t="n">
        <v>2</v>
      </c>
      <c r="M3" s="18" t="n">
        <v>2</v>
      </c>
      <c r="N3" s="18" t="n">
        <v>2</v>
      </c>
      <c r="O3" s="18" t="n">
        <v>2</v>
      </c>
      <c r="P3" s="18" t="n">
        <v>2</v>
      </c>
      <c r="Q3" s="18" t="n">
        <v>2</v>
      </c>
      <c r="R3" s="18" t="n">
        <v>2</v>
      </c>
      <c r="S3" s="18" t="n">
        <v>2</v>
      </c>
      <c r="T3" s="18" t="n">
        <v>2</v>
      </c>
      <c r="U3" s="18" t="n">
        <v>2</v>
      </c>
      <c r="V3" s="18" t="n">
        <v>1</v>
      </c>
    </row>
    <row r="4" customFormat="false" ht="15" hidden="false" customHeight="false" outlineLevel="0" collapsed="false">
      <c r="A4" s="18" t="s">
        <v>20</v>
      </c>
      <c r="B4" s="18" t="s">
        <v>59</v>
      </c>
      <c r="C4" s="18" t="s">
        <v>26</v>
      </c>
      <c r="D4" s="1"/>
      <c r="E4" s="18" t="n">
        <v>0.370804880254926</v>
      </c>
      <c r="F4" s="18" t="n">
        <v>0.512222804291256</v>
      </c>
      <c r="G4" s="18" t="n">
        <v>0.630296611314944</v>
      </c>
      <c r="H4" s="18" t="n">
        <v>0.853677478181752</v>
      </c>
      <c r="I4" s="18" t="n">
        <v>0.893108576555531</v>
      </c>
      <c r="J4" s="18" t="n">
        <v>0.942644911270879</v>
      </c>
      <c r="K4" s="18" t="n">
        <v>0.937127599981272</v>
      </c>
      <c r="L4" s="18" t="n">
        <v>1</v>
      </c>
      <c r="M4" s="18" t="n">
        <v>1</v>
      </c>
      <c r="N4" s="18" t="n">
        <v>1</v>
      </c>
      <c r="O4" s="18" t="n">
        <v>1</v>
      </c>
      <c r="P4" s="18" t="n">
        <v>1</v>
      </c>
      <c r="Q4" s="18" t="n">
        <v>1</v>
      </c>
      <c r="R4" s="18" t="n">
        <v>1</v>
      </c>
      <c r="S4" s="18" t="n">
        <v>1</v>
      </c>
      <c r="T4" s="18" t="n">
        <v>0.999920283805012</v>
      </c>
      <c r="U4" s="18" t="n">
        <v>1</v>
      </c>
      <c r="V4" s="18" t="n">
        <v>1</v>
      </c>
    </row>
    <row r="5" customFormat="false" ht="15" hidden="false" customHeight="false" outlineLevel="0" collapsed="false">
      <c r="A5" s="18" t="s">
        <v>20</v>
      </c>
      <c r="B5" s="18" t="s">
        <v>59</v>
      </c>
      <c r="C5" s="18" t="s">
        <v>27</v>
      </c>
      <c r="D5" s="1"/>
      <c r="E5" s="18" t="n">
        <v>0.114040369390905</v>
      </c>
      <c r="F5" s="18" t="n">
        <v>0.301271735919616</v>
      </c>
      <c r="G5" s="18" t="n">
        <v>0.19405593254861</v>
      </c>
      <c r="H5" s="18" t="n">
        <v>0.235161915532111</v>
      </c>
      <c r="I5" s="18" t="n">
        <v>0.154526541893646</v>
      </c>
      <c r="J5" s="18" t="n">
        <v>0.016670648796677</v>
      </c>
      <c r="K5" s="18" t="n">
        <v>0.0223043388638264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  <c r="T5" s="18" t="n">
        <v>8.45503548668747E-005</v>
      </c>
      <c r="U5" s="18" t="n">
        <v>0.000276319425255633</v>
      </c>
      <c r="V5" s="18" t="n">
        <v>0</v>
      </c>
    </row>
    <row r="6" customFormat="false" ht="15" hidden="false" customHeight="false" outlineLevel="0" collapsed="false">
      <c r="A6" s="18" t="s">
        <v>20</v>
      </c>
      <c r="B6" s="18" t="s">
        <v>59</v>
      </c>
      <c r="C6" s="18" t="s">
        <v>28</v>
      </c>
      <c r="D6" s="1"/>
      <c r="E6" s="18" t="n">
        <v>0.30038147089971</v>
      </c>
      <c r="F6" s="18" t="n">
        <v>0.457831758795133</v>
      </c>
      <c r="G6" s="18" t="n">
        <v>0.625059878285131</v>
      </c>
      <c r="H6" s="18" t="n">
        <v>0.786363000435873</v>
      </c>
      <c r="I6" s="18" t="n">
        <v>0.82225387584959</v>
      </c>
      <c r="J6" s="18" t="n">
        <v>0.936361109482941</v>
      </c>
      <c r="K6" s="18" t="n">
        <v>0.937127599981272</v>
      </c>
      <c r="L6" s="18" t="n">
        <v>1</v>
      </c>
      <c r="M6" s="18" t="n">
        <v>1</v>
      </c>
      <c r="N6" s="18" t="n">
        <v>1</v>
      </c>
      <c r="O6" s="18" t="n">
        <v>1</v>
      </c>
      <c r="P6" s="18" t="n">
        <v>1</v>
      </c>
      <c r="Q6" s="18" t="n">
        <v>1</v>
      </c>
      <c r="R6" s="18" t="n">
        <v>1</v>
      </c>
      <c r="S6" s="18" t="n">
        <v>1</v>
      </c>
      <c r="T6" s="18" t="n">
        <v>0.999920283805012</v>
      </c>
      <c r="U6" s="18" t="n">
        <v>1</v>
      </c>
      <c r="V6" s="18" t="n">
        <v>1</v>
      </c>
    </row>
    <row r="7" customFormat="false" ht="15" hidden="false" customHeight="false" outlineLevel="0" collapsed="false">
      <c r="A7" s="18" t="s">
        <v>20</v>
      </c>
      <c r="B7" s="18" t="s">
        <v>59</v>
      </c>
      <c r="C7" s="18" t="s">
        <v>29</v>
      </c>
      <c r="D7" s="1"/>
      <c r="E7" s="18" t="n">
        <v>0.0436169600356887</v>
      </c>
      <c r="F7" s="18" t="n">
        <v>0.246880690423493</v>
      </c>
      <c r="G7" s="18" t="n">
        <v>0.188819199518797</v>
      </c>
      <c r="H7" s="18" t="n">
        <v>0.167847437786232</v>
      </c>
      <c r="I7" s="18" t="n">
        <v>0.0836718411877044</v>
      </c>
      <c r="J7" s="18" t="n">
        <v>0.0103868470087387</v>
      </c>
      <c r="K7" s="18" t="n">
        <v>0.0223043388638264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8.45503548668747E-005</v>
      </c>
      <c r="U7" s="18" t="n">
        <v>0.000276319425255633</v>
      </c>
      <c r="V7" s="18" t="n">
        <v>0</v>
      </c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15" hidden="false" customHeight="false" outlineLevel="0" collapsed="false">
      <c r="A10" s="18" t="s">
        <v>20</v>
      </c>
      <c r="B10" s="18" t="s">
        <v>60</v>
      </c>
      <c r="C10" s="18" t="s">
        <v>24</v>
      </c>
      <c r="D10" s="1"/>
      <c r="E10" s="18" t="n">
        <v>0.767910544792615</v>
      </c>
      <c r="F10" s="18" t="n">
        <v>0.233359794644771</v>
      </c>
      <c r="G10" s="18" t="n">
        <v>0.159344616492618</v>
      </c>
      <c r="H10" s="18" t="n">
        <v>0.593307752609646</v>
      </c>
      <c r="I10" s="18" t="n">
        <v>0.706335646786097</v>
      </c>
      <c r="J10" s="18" t="n">
        <v>0.952437456738851</v>
      </c>
      <c r="K10" s="18" t="n">
        <v>0.672083333333333</v>
      </c>
      <c r="L10" s="18" t="n">
        <v>1</v>
      </c>
      <c r="M10" s="18" t="n">
        <v>1</v>
      </c>
      <c r="N10" s="18" t="n">
        <v>1</v>
      </c>
      <c r="O10" s="18" t="n">
        <v>1</v>
      </c>
      <c r="P10" s="18" t="n">
        <v>1</v>
      </c>
      <c r="Q10" s="18" t="n">
        <v>1</v>
      </c>
      <c r="R10" s="18" t="n">
        <v>1</v>
      </c>
      <c r="S10" s="18" t="n">
        <v>1</v>
      </c>
      <c r="T10" s="18" t="n">
        <v>1</v>
      </c>
      <c r="U10" s="18" t="n">
        <v>0.999683377308707</v>
      </c>
      <c r="V10" s="18" t="n">
        <v>1</v>
      </c>
    </row>
    <row r="11" customFormat="false" ht="15" hidden="false" customHeight="false" outlineLevel="0" collapsed="false">
      <c r="A11" s="18" t="s">
        <v>20</v>
      </c>
      <c r="B11" s="18" t="s">
        <v>60</v>
      </c>
      <c r="C11" s="18" t="s">
        <v>25</v>
      </c>
      <c r="D11" s="1"/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  <c r="N11" s="18" t="n">
        <v>1</v>
      </c>
      <c r="O11" s="18" t="n">
        <v>1</v>
      </c>
      <c r="P11" s="18" t="n">
        <v>1</v>
      </c>
      <c r="Q11" s="18" t="n">
        <v>1</v>
      </c>
      <c r="R11" s="18" t="n">
        <v>1</v>
      </c>
      <c r="S11" s="18" t="n">
        <v>1</v>
      </c>
      <c r="T11" s="18" t="n">
        <v>1</v>
      </c>
      <c r="U11" s="18" t="n">
        <v>1</v>
      </c>
      <c r="V11" s="18" t="n">
        <v>1</v>
      </c>
    </row>
    <row r="12" customFormat="false" ht="15" hidden="false" customHeight="false" outlineLevel="0" collapsed="false">
      <c r="A12" s="18" t="s">
        <v>20</v>
      </c>
      <c r="B12" s="18" t="s">
        <v>60</v>
      </c>
      <c r="C12" s="18" t="s">
        <v>26</v>
      </c>
      <c r="D12" s="1"/>
      <c r="E12" s="18" t="n">
        <v>0.838303800670329</v>
      </c>
      <c r="F12" s="18" t="n">
        <v>0.374438547755099</v>
      </c>
      <c r="G12" s="18" t="n">
        <v>0.406111211398615</v>
      </c>
      <c r="H12" s="18" t="n">
        <v>0.68006197784676</v>
      </c>
      <c r="I12" s="18" t="n">
        <v>0.84964747777152</v>
      </c>
      <c r="J12" s="18" t="n">
        <v>0.958798113204768</v>
      </c>
      <c r="K12" s="18" t="n">
        <v>0.715935015772906</v>
      </c>
      <c r="L12" s="18" t="n">
        <v>1</v>
      </c>
      <c r="M12" s="18" t="n">
        <v>1</v>
      </c>
      <c r="N12" s="18" t="n">
        <v>1</v>
      </c>
      <c r="O12" s="18" t="n">
        <v>1</v>
      </c>
      <c r="P12" s="18" t="n">
        <v>1</v>
      </c>
      <c r="Q12" s="18" t="n">
        <v>1</v>
      </c>
      <c r="R12" s="18" t="n">
        <v>1</v>
      </c>
      <c r="S12" s="18" t="n">
        <v>1</v>
      </c>
      <c r="T12" s="18" t="n">
        <v>1</v>
      </c>
      <c r="U12" s="18" t="n">
        <v>0.999846088457105</v>
      </c>
      <c r="V12" s="18" t="n">
        <v>1</v>
      </c>
    </row>
    <row r="13" customFormat="false" ht="15" hidden="false" customHeight="false" outlineLevel="0" collapsed="false">
      <c r="A13" s="18" t="s">
        <v>20</v>
      </c>
      <c r="B13" s="18" t="s">
        <v>60</v>
      </c>
      <c r="C13" s="18" t="s">
        <v>27</v>
      </c>
      <c r="D13" s="1"/>
      <c r="E13" s="18" t="n">
        <v>0.0703932558777137</v>
      </c>
      <c r="F13" s="18" t="n">
        <v>0.141078753110327</v>
      </c>
      <c r="G13" s="18" t="n">
        <v>0.246766594905997</v>
      </c>
      <c r="H13" s="18" t="n">
        <v>0.0867542252371134</v>
      </c>
      <c r="I13" s="18" t="n">
        <v>0.143311830985423</v>
      </c>
      <c r="J13" s="18" t="n">
        <v>0.00636065646591699</v>
      </c>
      <c r="K13" s="18" t="n">
        <v>0.0438516824395725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  <c r="T13" s="18" t="n">
        <v>0</v>
      </c>
      <c r="U13" s="18" t="n">
        <v>0.000162711148397499</v>
      </c>
      <c r="V13" s="18" t="n">
        <v>0</v>
      </c>
    </row>
    <row r="14" customFormat="false" ht="15" hidden="false" customHeight="false" outlineLevel="0" collapsed="false">
      <c r="A14" s="18" t="s">
        <v>20</v>
      </c>
      <c r="B14" s="18" t="s">
        <v>60</v>
      </c>
      <c r="C14" s="18" t="s">
        <v>28</v>
      </c>
      <c r="D14" s="1"/>
      <c r="E14" s="18" t="n">
        <v>0.841311149064617</v>
      </c>
      <c r="F14" s="18" t="n">
        <v>0.377373327650996</v>
      </c>
      <c r="G14" s="18" t="n">
        <v>0.321257090384265</v>
      </c>
      <c r="H14" s="18" t="n">
        <v>0.694706269735774</v>
      </c>
      <c r="I14" s="18" t="n">
        <v>0.706335646786097</v>
      </c>
      <c r="J14" s="18" t="n">
        <v>0.952437456738851</v>
      </c>
      <c r="K14" s="18" t="n">
        <v>0.715935015772906</v>
      </c>
      <c r="L14" s="18" t="n">
        <v>1</v>
      </c>
      <c r="M14" s="18" t="n">
        <v>1</v>
      </c>
      <c r="N14" s="18" t="n">
        <v>1</v>
      </c>
      <c r="O14" s="18" t="n">
        <v>1</v>
      </c>
      <c r="P14" s="18" t="n">
        <v>1</v>
      </c>
      <c r="Q14" s="18" t="n">
        <v>1</v>
      </c>
      <c r="R14" s="18" t="n">
        <v>1</v>
      </c>
      <c r="S14" s="18" t="n">
        <v>1</v>
      </c>
      <c r="T14" s="18" t="n">
        <v>1</v>
      </c>
      <c r="U14" s="18" t="n">
        <v>0.999846088457105</v>
      </c>
      <c r="V14" s="18" t="n">
        <v>1</v>
      </c>
    </row>
    <row r="15" customFormat="false" ht="15" hidden="false" customHeight="false" outlineLevel="0" collapsed="false">
      <c r="A15" s="18" t="s">
        <v>20</v>
      </c>
      <c r="B15" s="18" t="s">
        <v>60</v>
      </c>
      <c r="C15" s="18" t="s">
        <v>29</v>
      </c>
      <c r="D15" s="1"/>
      <c r="E15" s="18" t="n">
        <v>0.0734006042720024</v>
      </c>
      <c r="F15" s="18" t="n">
        <v>0.144013533006224</v>
      </c>
      <c r="G15" s="18" t="n">
        <v>0.161912473891648</v>
      </c>
      <c r="H15" s="18" t="n">
        <v>0.101398517126128</v>
      </c>
      <c r="I15" s="18" t="n">
        <v>0</v>
      </c>
      <c r="J15" s="18" t="n">
        <v>0</v>
      </c>
      <c r="K15" s="18" t="n">
        <v>0.0438516824395727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  <c r="T15" s="18" t="n">
        <v>0</v>
      </c>
      <c r="U15" s="18" t="n">
        <v>0.000162711148397499</v>
      </c>
      <c r="V15" s="1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8" t="s">
        <v>17</v>
      </c>
      <c r="B1" s="18" t="s">
        <v>18</v>
      </c>
      <c r="C1" s="18" t="s">
        <v>23</v>
      </c>
      <c r="D1" s="18" t="s">
        <v>30</v>
      </c>
      <c r="E1" s="18" t="s">
        <v>31</v>
      </c>
      <c r="F1" s="18" t="s">
        <v>32</v>
      </c>
    </row>
    <row r="2" customFormat="false" ht="15" hidden="false" customHeight="false" outlineLevel="0" collapsed="false">
      <c r="A2" s="18" t="s">
        <v>20</v>
      </c>
      <c r="B2" s="18" t="s">
        <v>59</v>
      </c>
      <c r="C2" s="18" t="s">
        <v>33</v>
      </c>
      <c r="D2" s="18" t="s">
        <v>60</v>
      </c>
      <c r="E2" s="18" t="s">
        <v>115</v>
      </c>
      <c r="F2" s="1"/>
    </row>
    <row r="3" customFormat="false" ht="15" hidden="false" customHeight="false" outlineLevel="0" collapsed="false">
      <c r="A3" s="18" t="s">
        <v>20</v>
      </c>
      <c r="B3" s="18" t="s">
        <v>59</v>
      </c>
      <c r="C3" s="18" t="s">
        <v>24</v>
      </c>
      <c r="D3" s="18" t="n">
        <v>42408</v>
      </c>
      <c r="E3" s="18" t="n">
        <v>0</v>
      </c>
      <c r="F3" s="18" t="n">
        <v>42408</v>
      </c>
    </row>
    <row r="4" customFormat="false" ht="15" hidden="false" customHeight="false" outlineLevel="0" collapsed="false">
      <c r="A4" s="18" t="s">
        <v>20</v>
      </c>
      <c r="B4" s="18" t="s">
        <v>59</v>
      </c>
      <c r="C4" s="18" t="s">
        <v>26</v>
      </c>
      <c r="D4" s="18" t="n">
        <v>128088.784487005</v>
      </c>
      <c r="E4" s="18" t="n">
        <v>84367.9244788131</v>
      </c>
      <c r="F4" s="18" t="n">
        <v>212456.708965819</v>
      </c>
    </row>
    <row r="5" customFormat="false" ht="15" hidden="false" customHeight="false" outlineLevel="0" collapsed="false">
      <c r="A5" s="18" t="s">
        <v>20</v>
      </c>
      <c r="B5" s="18" t="s">
        <v>59</v>
      </c>
      <c r="C5" s="18" t="s">
        <v>27</v>
      </c>
      <c r="D5" s="18" t="n">
        <v>85680.7844870054</v>
      </c>
      <c r="E5" s="18" t="n">
        <v>84367.9244788131</v>
      </c>
      <c r="F5" s="18" t="n">
        <v>170048.708965819</v>
      </c>
    </row>
    <row r="6" customFormat="false" ht="15" hidden="false" customHeight="false" outlineLevel="0" collapsed="false">
      <c r="A6" s="18" t="s">
        <v>20</v>
      </c>
      <c r="B6" s="18" t="s">
        <v>59</v>
      </c>
      <c r="C6" s="18" t="s">
        <v>28</v>
      </c>
      <c r="D6" s="18" t="n">
        <v>105391.220796463</v>
      </c>
      <c r="E6" s="18" t="n">
        <v>68185.6844580024</v>
      </c>
      <c r="F6" s="18" t="n">
        <v>173576.905254466</v>
      </c>
    </row>
    <row r="7" customFormat="false" ht="15" hidden="false" customHeight="false" outlineLevel="0" collapsed="false">
      <c r="A7" s="18" t="s">
        <v>20</v>
      </c>
      <c r="B7" s="18" t="s">
        <v>59</v>
      </c>
      <c r="C7" s="18" t="s">
        <v>29</v>
      </c>
      <c r="D7" s="18" t="n">
        <v>62983.2207964631</v>
      </c>
      <c r="E7" s="18" t="n">
        <v>68185.6844580024</v>
      </c>
      <c r="F7" s="18" t="n">
        <v>131168.905254466</v>
      </c>
    </row>
    <row r="8" customFormat="false" ht="15" hidden="false" customHeight="false" outlineLevel="0" collapsed="false">
      <c r="A8" s="1"/>
      <c r="B8" s="1"/>
      <c r="C8" s="1"/>
      <c r="D8" s="1"/>
      <c r="E8" s="1"/>
      <c r="F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</row>
    <row r="10" customFormat="false" ht="15" hidden="false" customHeight="false" outlineLevel="0" collapsed="false">
      <c r="A10" s="18" t="s">
        <v>20</v>
      </c>
      <c r="B10" s="18" t="s">
        <v>60</v>
      </c>
      <c r="C10" s="18" t="s">
        <v>33</v>
      </c>
      <c r="D10" s="18" t="s">
        <v>115</v>
      </c>
      <c r="E10" s="1"/>
      <c r="F10" s="1"/>
    </row>
    <row r="11" customFormat="false" ht="15" hidden="false" customHeight="false" outlineLevel="0" collapsed="false">
      <c r="A11" s="18" t="s">
        <v>20</v>
      </c>
      <c r="B11" s="18" t="s">
        <v>60</v>
      </c>
      <c r="C11" s="18" t="s">
        <v>24</v>
      </c>
      <c r="D11" s="18" t="n">
        <v>1</v>
      </c>
      <c r="E11" s="1"/>
      <c r="F11" s="18" t="n">
        <v>1</v>
      </c>
    </row>
    <row r="12" customFormat="false" ht="15" hidden="false" customHeight="false" outlineLevel="0" collapsed="false">
      <c r="A12" s="18" t="s">
        <v>20</v>
      </c>
      <c r="B12" s="18" t="s">
        <v>60</v>
      </c>
      <c r="C12" s="18" t="s">
        <v>26</v>
      </c>
      <c r="D12" s="18" t="n">
        <v>78672.6071873312</v>
      </c>
      <c r="E12" s="1"/>
      <c r="F12" s="18" t="n">
        <v>78672.6071873312</v>
      </c>
    </row>
    <row r="13" customFormat="false" ht="15" hidden="false" customHeight="false" outlineLevel="0" collapsed="false">
      <c r="A13" s="18" t="s">
        <v>20</v>
      </c>
      <c r="B13" s="18" t="s">
        <v>60</v>
      </c>
      <c r="C13" s="18" t="s">
        <v>27</v>
      </c>
      <c r="D13" s="18" t="n">
        <v>78671.6071873312</v>
      </c>
      <c r="E13" s="1"/>
      <c r="F13" s="18" t="n">
        <v>78671.6071873312</v>
      </c>
    </row>
    <row r="14" customFormat="false" ht="15" hidden="false" customHeight="false" outlineLevel="0" collapsed="false">
      <c r="A14" s="18" t="s">
        <v>20</v>
      </c>
      <c r="B14" s="18" t="s">
        <v>60</v>
      </c>
      <c r="C14" s="18" t="s">
        <v>28</v>
      </c>
      <c r="D14" s="18" t="n">
        <v>55977.9307227414</v>
      </c>
      <c r="E14" s="1"/>
      <c r="F14" s="18" t="n">
        <v>55977.9307227414</v>
      </c>
    </row>
    <row r="15" customFormat="false" ht="15" hidden="false" customHeight="false" outlineLevel="0" collapsed="false">
      <c r="A15" s="18" t="s">
        <v>20</v>
      </c>
      <c r="B15" s="18" t="s">
        <v>60</v>
      </c>
      <c r="C15" s="18" t="s">
        <v>29</v>
      </c>
      <c r="D15" s="18" t="n">
        <v>55976.9307227414</v>
      </c>
      <c r="E15" s="1"/>
      <c r="F15" s="18" t="n">
        <v>55976.9307227414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2026-10-04T09:33:32Z</dcterms:created>
  <dc:creator>openpyxl</dc:creator>
  <dc:description/>
  <dc:language>en-US</dc:language>
  <cp:lastModifiedBy/>
  <dcterms:modified xsi:type="dcterms:W3CDTF">2026-10-04T09:33:33Z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